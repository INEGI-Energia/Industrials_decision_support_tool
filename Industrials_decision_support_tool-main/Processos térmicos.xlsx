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inegiuppt.sharepoint.com/sites/M2N9/Documentos Partilhados/General/Ferramenta ATE/Ferramenta industriais/"/>
    </mc:Choice>
  </mc:AlternateContent>
  <xr:revisionPtr revIDLastSave="38" documentId="13_ncr:1_{7849F0F1-9E97-42DB-ACB4-2A09A92471F2}" xr6:coauthVersionLast="47" xr6:coauthVersionMax="47" xr10:uidLastSave="{C41FDDD0-EE35-446B-A5F6-60DA69E939AD}"/>
  <bookViews>
    <workbookView xWindow="-108" yWindow="-108" windowWidth="23256" windowHeight="14016" activeTab="5" xr2:uid="{00000000-000D-0000-FFFF-FFFF00000000}"/>
  </bookViews>
  <sheets>
    <sheet name="Perguntas" sheetId="5" r:id="rId1"/>
    <sheet name="Inputs" sheetId="1" r:id="rId2"/>
    <sheet name="Processamento" sheetId="4" r:id="rId3"/>
    <sheet name="Outputs" sheetId="3" r:id="rId4"/>
    <sheet name="Apoio" sheetId="2" r:id="rId5"/>
    <sheet name="Sheet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6" l="1"/>
  <c r="H6" i="6"/>
  <c r="G10" i="6" s="1"/>
  <c r="B7" i="6"/>
  <c r="I6" i="6"/>
  <c r="I5" i="6"/>
  <c r="I4" i="6"/>
  <c r="G6" i="6"/>
  <c r="F5" i="6"/>
  <c r="F4" i="6"/>
  <c r="D7" i="3"/>
  <c r="U7" i="2"/>
  <c r="U11" i="2"/>
  <c r="T14" i="2"/>
  <c r="T13" i="2"/>
  <c r="T16" i="2"/>
  <c r="AK16" i="4"/>
  <c r="C62" i="4"/>
  <c r="C46" i="4"/>
  <c r="C30" i="4"/>
  <c r="C13" i="4"/>
  <c r="U9" i="2"/>
  <c r="U12" i="2" l="1"/>
  <c r="AV13" i="4"/>
  <c r="AH15" i="4"/>
  <c r="BA15" i="4"/>
  <c r="AZ14" i="4"/>
  <c r="AZ15" i="4"/>
  <c r="AZ12" i="4"/>
  <c r="AY14" i="4"/>
  <c r="BA14" i="4" s="1"/>
  <c r="AY12" i="4"/>
  <c r="BA12" i="4" s="1"/>
  <c r="AV14" i="4"/>
  <c r="AV15" i="4"/>
  <c r="AV12" i="4"/>
  <c r="AU15" i="4"/>
  <c r="AU14" i="4"/>
  <c r="AU12" i="4"/>
  <c r="AT15" i="4"/>
  <c r="AW15" i="4" s="1"/>
  <c r="AT14" i="4"/>
  <c r="AW14" i="4" s="1"/>
  <c r="AT13" i="4"/>
  <c r="AT12" i="4"/>
  <c r="AW12" i="4" s="1"/>
  <c r="AJ8" i="4"/>
  <c r="AJ7" i="4"/>
  <c r="AI8" i="4"/>
  <c r="AI7" i="4"/>
  <c r="AH8" i="4"/>
  <c r="AK8" i="4" s="1"/>
  <c r="AH7" i="4"/>
  <c r="AK7" i="4" s="1"/>
  <c r="AK15" i="4"/>
  <c r="AK17" i="4"/>
  <c r="AK14" i="4"/>
  <c r="AI15" i="4"/>
  <c r="AI16" i="4"/>
  <c r="AI17" i="4"/>
  <c r="AI14" i="4"/>
  <c r="AH16" i="4"/>
  <c r="AH17" i="4"/>
  <c r="AJ17" i="4" s="1"/>
  <c r="AH14" i="4"/>
  <c r="H25" i="1"/>
  <c r="G25" i="1"/>
  <c r="P8" i="2"/>
  <c r="AJ16" i="4" l="1"/>
  <c r="AL16" i="4" s="1"/>
  <c r="AJ15" i="4"/>
  <c r="AI37" i="4" s="1"/>
  <c r="AU13" i="4"/>
  <c r="AJ14" i="4"/>
  <c r="AI53" i="4" s="1"/>
  <c r="BB12" i="4"/>
  <c r="BB14" i="4"/>
  <c r="BC14" i="4" s="1"/>
  <c r="BE14" i="4" s="1"/>
  <c r="BH14" i="4" s="1"/>
  <c r="AW13" i="4"/>
  <c r="AZ13" i="4"/>
  <c r="AY13" i="4"/>
  <c r="BA13" i="4" s="1"/>
  <c r="BB13" i="4" s="1"/>
  <c r="BC13" i="4" s="1"/>
  <c r="BE13" i="4" s="1"/>
  <c r="BB15" i="4"/>
  <c r="BC15" i="4" s="1"/>
  <c r="BE15" i="4" s="1"/>
  <c r="BC12" i="4"/>
  <c r="BE12" i="4" s="1"/>
  <c r="BH12" i="4" s="1"/>
  <c r="AL17" i="4"/>
  <c r="AH71" i="4" s="1"/>
  <c r="U14" i="2"/>
  <c r="AH23" i="4" l="1"/>
  <c r="Y7" i="3" s="1"/>
  <c r="AH24" i="4"/>
  <c r="AI21" i="4"/>
  <c r="AM17" i="4"/>
  <c r="AX15" i="4" s="1"/>
  <c r="AM15" i="4"/>
  <c r="AX13" i="4" s="1"/>
  <c r="AH30" i="4"/>
  <c r="AL15" i="4"/>
  <c r="AH39" i="4" s="1"/>
  <c r="AM16" i="4"/>
  <c r="BF13" i="4"/>
  <c r="BG13" i="4"/>
  <c r="BH13" i="4"/>
  <c r="AM14" i="4"/>
  <c r="AX12" i="4" s="1"/>
  <c r="BG15" i="4"/>
  <c r="BH15" i="4"/>
  <c r="BG14" i="4"/>
  <c r="AH31" i="4"/>
  <c r="AI31" i="4" s="1"/>
  <c r="AH26" i="4"/>
  <c r="AH34" i="4"/>
  <c r="AI34" i="4" s="1"/>
  <c r="AH32" i="4"/>
  <c r="AI32" i="4" s="1"/>
  <c r="AH33" i="4"/>
  <c r="AI33" i="4" s="1"/>
  <c r="AH28" i="4"/>
  <c r="AH35" i="4"/>
  <c r="AI35" i="4" s="1"/>
  <c r="AH25" i="4"/>
  <c r="AH27" i="4"/>
  <c r="AH29" i="4"/>
  <c r="AH73" i="4"/>
  <c r="AH77" i="4"/>
  <c r="AH78" i="4"/>
  <c r="AH74" i="4"/>
  <c r="AH79" i="4"/>
  <c r="AH72" i="4"/>
  <c r="AH80" i="4"/>
  <c r="AH81" i="4"/>
  <c r="AH83" i="4"/>
  <c r="AH75" i="4"/>
  <c r="AH82" i="4"/>
  <c r="AH76" i="4"/>
  <c r="BG12" i="4"/>
  <c r="BE16" i="4"/>
  <c r="AI69" i="4"/>
  <c r="AO17" i="4"/>
  <c r="AO16" i="4"/>
  <c r="AO14" i="4"/>
  <c r="AO15" i="4"/>
  <c r="AL14" i="4"/>
  <c r="AH55" i="4" s="1"/>
  <c r="D9" i="4"/>
  <c r="C9" i="4"/>
  <c r="H9" i="4" s="1"/>
  <c r="C8" i="4"/>
  <c r="H8" i="4" s="1"/>
  <c r="D8" i="4"/>
  <c r="B9" i="4"/>
  <c r="M13" i="4"/>
  <c r="T12" i="4"/>
  <c r="S12" i="4"/>
  <c r="U12" i="4" s="1"/>
  <c r="R12" i="4"/>
  <c r="Q12" i="4"/>
  <c r="P12" i="4"/>
  <c r="O12" i="4"/>
  <c r="N12" i="4"/>
  <c r="M14" i="4"/>
  <c r="Z14" i="4" s="1"/>
  <c r="M12" i="4"/>
  <c r="AI76" i="4" l="1"/>
  <c r="AJ76" i="4" s="1"/>
  <c r="AI75" i="4"/>
  <c r="AJ75" i="4" s="1"/>
  <c r="AI71" i="4"/>
  <c r="AM71" i="4" s="1"/>
  <c r="AI72" i="4"/>
  <c r="AI74" i="4"/>
  <c r="AJ74" i="4" s="1"/>
  <c r="AI78" i="4"/>
  <c r="AJ78" i="4" s="1"/>
  <c r="AI77" i="4"/>
  <c r="AM77" i="4" s="1"/>
  <c r="AI25" i="4"/>
  <c r="AM25" i="4" s="1"/>
  <c r="AI73" i="4"/>
  <c r="AI24" i="4"/>
  <c r="AM24" i="4" s="1"/>
  <c r="AI30" i="4"/>
  <c r="AM30" i="4" s="1"/>
  <c r="AH48" i="4"/>
  <c r="AI48" i="4" s="1"/>
  <c r="AH45" i="4"/>
  <c r="AI45" i="4" s="1"/>
  <c r="AM45" i="4" s="1"/>
  <c r="AN17" i="4"/>
  <c r="AP14" i="4"/>
  <c r="AI39" i="4"/>
  <c r="AJ39" i="4" s="1"/>
  <c r="AI55" i="4"/>
  <c r="BH16" i="4"/>
  <c r="AH47" i="4"/>
  <c r="AI47" i="4" s="1"/>
  <c r="AN15" i="4"/>
  <c r="AN16" i="4"/>
  <c r="AH46" i="4"/>
  <c r="AI46" i="4" s="1"/>
  <c r="AH50" i="4"/>
  <c r="AI50" i="4" s="1"/>
  <c r="AH41" i="4"/>
  <c r="AI41" i="4" s="1"/>
  <c r="AH49" i="4"/>
  <c r="AI49" i="4" s="1"/>
  <c r="AH43" i="4"/>
  <c r="AI43" i="4" s="1"/>
  <c r="AX14" i="4"/>
  <c r="AH40" i="4"/>
  <c r="AI40" i="4" s="1"/>
  <c r="AM40" i="4" s="1"/>
  <c r="AH44" i="4"/>
  <c r="AI44" i="4" s="1"/>
  <c r="AM44" i="4" s="1"/>
  <c r="AH42" i="4"/>
  <c r="AI42" i="4" s="1"/>
  <c r="AN80" i="4"/>
  <c r="AI80" i="4"/>
  <c r="AN79" i="4"/>
  <c r="AI79" i="4"/>
  <c r="AN82" i="4"/>
  <c r="AI82" i="4"/>
  <c r="AN83" i="4"/>
  <c r="AI83" i="4"/>
  <c r="AI81" i="4"/>
  <c r="AJ81" i="4" s="1"/>
  <c r="AI26" i="4"/>
  <c r="AM26" i="4" s="1"/>
  <c r="AI28" i="4"/>
  <c r="AM28" i="4" s="1"/>
  <c r="AI29" i="4"/>
  <c r="AM29" i="4" s="1"/>
  <c r="AI27" i="4"/>
  <c r="AM27" i="4" s="1"/>
  <c r="S14" i="4"/>
  <c r="R14" i="4"/>
  <c r="Q14" i="4"/>
  <c r="P14" i="4"/>
  <c r="T14" i="4"/>
  <c r="O14" i="4"/>
  <c r="N14" i="4"/>
  <c r="AB14" i="4"/>
  <c r="Y14" i="4"/>
  <c r="W14" i="4"/>
  <c r="AA14" i="4"/>
  <c r="X14" i="4"/>
  <c r="V14" i="4"/>
  <c r="U14" i="4"/>
  <c r="BG16" i="4"/>
  <c r="Y31" i="3" s="1"/>
  <c r="AK35" i="4"/>
  <c r="AM35" i="4"/>
  <c r="AN35" i="4"/>
  <c r="AL35" i="4"/>
  <c r="AM33" i="4"/>
  <c r="AN32" i="4"/>
  <c r="AK32" i="4"/>
  <c r="AL32" i="4"/>
  <c r="AM32" i="4"/>
  <c r="AL34" i="4"/>
  <c r="AN34" i="4"/>
  <c r="AM34" i="4"/>
  <c r="AK34" i="4"/>
  <c r="AH63" i="4"/>
  <c r="AH56" i="4"/>
  <c r="AI56" i="4" s="1"/>
  <c r="AI52" i="4" s="1"/>
  <c r="AH64" i="4"/>
  <c r="AH57" i="4"/>
  <c r="AI57" i="4" s="1"/>
  <c r="AH58" i="4"/>
  <c r="AI58" i="4" s="1"/>
  <c r="AH59" i="4"/>
  <c r="AI59" i="4" s="1"/>
  <c r="AH66" i="4"/>
  <c r="AH60" i="4"/>
  <c r="AI60" i="4" s="1"/>
  <c r="AH65" i="4"/>
  <c r="AH67" i="4"/>
  <c r="AH61" i="4"/>
  <c r="AI61" i="4" s="1"/>
  <c r="AH62" i="4"/>
  <c r="AI62" i="4" s="1"/>
  <c r="AN31" i="4"/>
  <c r="AK31" i="4"/>
  <c r="AM31" i="4"/>
  <c r="AL31" i="4"/>
  <c r="Y10" i="3"/>
  <c r="Y11" i="3"/>
  <c r="Y13" i="3"/>
  <c r="Y8" i="3"/>
  <c r="AM79" i="4"/>
  <c r="AJ79" i="4"/>
  <c r="AK79" i="4"/>
  <c r="AL79" i="4"/>
  <c r="AL48" i="4"/>
  <c r="AJ48" i="4"/>
  <c r="AK48" i="4"/>
  <c r="AM48" i="4"/>
  <c r="AJ82" i="4"/>
  <c r="AK82" i="4"/>
  <c r="AL82" i="4"/>
  <c r="AM82" i="4"/>
  <c r="AL80" i="4"/>
  <c r="AJ80" i="4"/>
  <c r="AK80" i="4"/>
  <c r="AM80" i="4"/>
  <c r="AJ72" i="4"/>
  <c r="AK83" i="4"/>
  <c r="AJ83" i="4"/>
  <c r="AM83" i="4"/>
  <c r="AL83" i="4"/>
  <c r="AJ73" i="4"/>
  <c r="AP17" i="4"/>
  <c r="AP15" i="4"/>
  <c r="AN48" i="4" s="1"/>
  <c r="O13" i="4"/>
  <c r="N13" i="4"/>
  <c r="T13" i="4"/>
  <c r="S13" i="4"/>
  <c r="U13" i="4" s="1"/>
  <c r="R13" i="4"/>
  <c r="Q13" i="4"/>
  <c r="P13" i="4"/>
  <c r="AN14" i="4"/>
  <c r="AP16" i="4"/>
  <c r="AN33" i="4" s="1"/>
  <c r="E8" i="4"/>
  <c r="E9" i="4"/>
  <c r="F9" i="4"/>
  <c r="I9" i="4" s="1"/>
  <c r="V12" i="4"/>
  <c r="W12" i="4" s="1"/>
  <c r="Y12" i="4" s="1"/>
  <c r="F8" i="4"/>
  <c r="I8" i="4" s="1"/>
  <c r="AJ71" i="4" l="1"/>
  <c r="AK71" i="4" s="1"/>
  <c r="AM39" i="4"/>
  <c r="AN39" i="4" s="1"/>
  <c r="AK73" i="4"/>
  <c r="AK72" i="4"/>
  <c r="AK74" i="4"/>
  <c r="AJ50" i="4"/>
  <c r="Z6" i="3"/>
  <c r="AL50" i="4"/>
  <c r="AM43" i="4"/>
  <c r="AN43" i="4" s="1"/>
  <c r="AM50" i="4"/>
  <c r="AL49" i="4"/>
  <c r="AJ49" i="4"/>
  <c r="AK49" i="4"/>
  <c r="AJ46" i="4"/>
  <c r="AN49" i="4"/>
  <c r="AM49" i="4"/>
  <c r="AM42" i="4"/>
  <c r="AN42" i="4" s="1"/>
  <c r="AL39" i="4"/>
  <c r="AL47" i="4"/>
  <c r="AN47" i="4"/>
  <c r="AJ47" i="4"/>
  <c r="AJ41" i="4"/>
  <c r="AL41" i="4" s="1"/>
  <c r="AK47" i="4"/>
  <c r="AN50" i="4"/>
  <c r="AM47" i="4"/>
  <c r="AK50" i="4"/>
  <c r="AK81" i="4"/>
  <c r="AM81" i="4"/>
  <c r="AN81" i="4" s="1"/>
  <c r="AM64" i="4"/>
  <c r="AI64" i="4"/>
  <c r="AJ63" i="4"/>
  <c r="AI63" i="4"/>
  <c r="AJ67" i="4"/>
  <c r="AI67" i="4"/>
  <c r="AI65" i="4"/>
  <c r="AJ65" i="4" s="1"/>
  <c r="AM66" i="4"/>
  <c r="AI66" i="4"/>
  <c r="AB12" i="4"/>
  <c r="AM63" i="4"/>
  <c r="AM60" i="4"/>
  <c r="AN60" i="4" s="1"/>
  <c r="AM57" i="4"/>
  <c r="AN57" i="4" s="1"/>
  <c r="AM59" i="4"/>
  <c r="AN59" i="4" s="1"/>
  <c r="AM56" i="4"/>
  <c r="AN56" i="4" s="1"/>
  <c r="AJ64" i="4"/>
  <c r="AJ66" i="4"/>
  <c r="AJ58" i="4"/>
  <c r="AL58" i="4" s="1"/>
  <c r="AJ60" i="4"/>
  <c r="AL60" i="4" s="1"/>
  <c r="AK67" i="4"/>
  <c r="AN67" i="4"/>
  <c r="AL67" i="4"/>
  <c r="B39" i="4"/>
  <c r="C39" i="4" s="1"/>
  <c r="B40" i="4"/>
  <c r="C40" i="4" s="1"/>
  <c r="B33" i="4"/>
  <c r="C33" i="4" s="1"/>
  <c r="B34" i="4"/>
  <c r="C34" i="4" s="1"/>
  <c r="B41" i="4"/>
  <c r="C41" i="4" s="1"/>
  <c r="B35" i="4"/>
  <c r="C35" i="4" s="1"/>
  <c r="B42" i="4"/>
  <c r="C42" i="4" s="1"/>
  <c r="B43" i="4"/>
  <c r="C43" i="4" s="1"/>
  <c r="B37" i="4"/>
  <c r="C37" i="4" s="1"/>
  <c r="B32" i="4"/>
  <c r="C32" i="4" s="1"/>
  <c r="B38" i="4"/>
  <c r="C38" i="4" s="1"/>
  <c r="B36" i="4"/>
  <c r="C36" i="4" s="1"/>
  <c r="AK66" i="4"/>
  <c r="AN66" i="4"/>
  <c r="AL66" i="4"/>
  <c r="AJ62" i="4"/>
  <c r="AL62" i="4" s="1"/>
  <c r="AM55" i="4"/>
  <c r="AN55" i="4" s="1"/>
  <c r="AJ55" i="4"/>
  <c r="AK55" i="4" s="1"/>
  <c r="AK64" i="4"/>
  <c r="AL64" i="4"/>
  <c r="AN64" i="4"/>
  <c r="AM61" i="4"/>
  <c r="AN61" i="4" s="1"/>
  <c r="AM67" i="4"/>
  <c r="AK63" i="4"/>
  <c r="AN63" i="4"/>
  <c r="AL63" i="4"/>
  <c r="AN25" i="4"/>
  <c r="AN26" i="4"/>
  <c r="AN27" i="4"/>
  <c r="AN30" i="4"/>
  <c r="AN24" i="4"/>
  <c r="AN28" i="4"/>
  <c r="AN29" i="4"/>
  <c r="AK39" i="4"/>
  <c r="AN77" i="4"/>
  <c r="AN71" i="4"/>
  <c r="AJ43" i="4"/>
  <c r="AK43" i="4" s="1"/>
  <c r="AM41" i="4"/>
  <c r="AN41" i="4" s="1"/>
  <c r="AJ59" i="4"/>
  <c r="AK59" i="4" s="1"/>
  <c r="AM72" i="4"/>
  <c r="AN72" i="4" s="1"/>
  <c r="AM78" i="4"/>
  <c r="AN78" i="4" s="1"/>
  <c r="AJ40" i="4"/>
  <c r="AK40" i="4" s="1"/>
  <c r="AJ45" i="4"/>
  <c r="AM62" i="4"/>
  <c r="AN62" i="4" s="1"/>
  <c r="AM74" i="4"/>
  <c r="AN74" i="4" s="1"/>
  <c r="AM73" i="4"/>
  <c r="AN73" i="4" s="1"/>
  <c r="AJ44" i="4"/>
  <c r="AM58" i="4"/>
  <c r="AN58" i="4" s="1"/>
  <c r="AJ57" i="4"/>
  <c r="AK57" i="4" s="1"/>
  <c r="AJ56" i="4"/>
  <c r="AK56" i="4" s="1"/>
  <c r="AK76" i="4"/>
  <c r="AK75" i="4"/>
  <c r="AK46" i="4"/>
  <c r="AL46" i="4"/>
  <c r="AK78" i="4"/>
  <c r="AJ28" i="4"/>
  <c r="Y12" i="3"/>
  <c r="Y9" i="3"/>
  <c r="AJ61" i="4"/>
  <c r="AK61" i="4" s="1"/>
  <c r="AN44" i="4"/>
  <c r="B72" i="4"/>
  <c r="B73" i="4"/>
  <c r="B74" i="4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5" i="4"/>
  <c r="B76" i="4"/>
  <c r="AJ31" i="4"/>
  <c r="AJ30" i="4"/>
  <c r="AN45" i="4"/>
  <c r="AJ77" i="4"/>
  <c r="AM76" i="4"/>
  <c r="AN76" i="4" s="1"/>
  <c r="AM46" i="4"/>
  <c r="AN46" i="4" s="1"/>
  <c r="AJ24" i="4"/>
  <c r="AJ42" i="4"/>
  <c r="AN40" i="4"/>
  <c r="AJ35" i="4"/>
  <c r="AJ34" i="4"/>
  <c r="AM75" i="4"/>
  <c r="AN75" i="4" s="1"/>
  <c r="AJ29" i="4"/>
  <c r="AJ33" i="4"/>
  <c r="AJ32" i="4"/>
  <c r="Y17" i="3"/>
  <c r="Y15" i="3"/>
  <c r="Y14" i="3"/>
  <c r="Y18" i="3"/>
  <c r="Y16" i="3"/>
  <c r="V13" i="4"/>
  <c r="W13" i="4" s="1"/>
  <c r="Y13" i="4" s="1"/>
  <c r="G8" i="4"/>
  <c r="G9" i="4"/>
  <c r="AL74" i="4" s="1"/>
  <c r="B64" i="4"/>
  <c r="C64" i="4" s="1"/>
  <c r="AA12" i="4"/>
  <c r="AO54" i="4" l="1"/>
  <c r="AK41" i="4"/>
  <c r="AK65" i="4"/>
  <c r="AL65" i="4"/>
  <c r="AL81" i="4"/>
  <c r="AM65" i="4"/>
  <c r="AN65" i="4" s="1"/>
  <c r="AL33" i="4"/>
  <c r="AK33" i="4"/>
  <c r="C74" i="4"/>
  <c r="D74" i="4" s="1"/>
  <c r="H72" i="4"/>
  <c r="C72" i="4"/>
  <c r="H76" i="4"/>
  <c r="C76" i="4"/>
  <c r="H75" i="4"/>
  <c r="C75" i="4"/>
  <c r="H73" i="4"/>
  <c r="C73" i="4"/>
  <c r="AA13" i="4"/>
  <c r="AA15" i="4" s="1"/>
  <c r="AB13" i="4"/>
  <c r="AB15" i="4" s="1"/>
  <c r="AL55" i="4"/>
  <c r="AK62" i="4"/>
  <c r="AK60" i="4"/>
  <c r="AL56" i="4"/>
  <c r="AK58" i="4"/>
  <c r="AL57" i="4"/>
  <c r="D41" i="4"/>
  <c r="F41" i="4" s="1"/>
  <c r="G41" i="4"/>
  <c r="H41" i="4" s="1"/>
  <c r="D34" i="4"/>
  <c r="D39" i="4"/>
  <c r="F39" i="4"/>
  <c r="E39" i="4"/>
  <c r="G39" i="4"/>
  <c r="H39" i="4"/>
  <c r="F42" i="4"/>
  <c r="E42" i="4"/>
  <c r="H42" i="4"/>
  <c r="D42" i="4"/>
  <c r="G42" i="4"/>
  <c r="D32" i="4"/>
  <c r="F32" i="4" s="1"/>
  <c r="F40" i="4"/>
  <c r="D40" i="4"/>
  <c r="G40" i="4"/>
  <c r="H40" i="4"/>
  <c r="E40" i="4"/>
  <c r="AL71" i="4"/>
  <c r="D37" i="4"/>
  <c r="G37" i="4"/>
  <c r="H37" i="4" s="1"/>
  <c r="D36" i="4"/>
  <c r="E36" i="4" s="1"/>
  <c r="E43" i="4"/>
  <c r="F43" i="4"/>
  <c r="D43" i="4"/>
  <c r="H43" i="4"/>
  <c r="G43" i="4"/>
  <c r="G35" i="4"/>
  <c r="H35" i="4" s="1"/>
  <c r="G33" i="4"/>
  <c r="H33" i="4" s="1"/>
  <c r="G38" i="4"/>
  <c r="H38" i="4" s="1"/>
  <c r="AL24" i="4"/>
  <c r="AK24" i="4"/>
  <c r="AL61" i="4"/>
  <c r="AK30" i="4"/>
  <c r="AL30" i="4"/>
  <c r="AK28" i="4"/>
  <c r="AL28" i="4"/>
  <c r="AL59" i="4"/>
  <c r="AK29" i="4"/>
  <c r="AL29" i="4"/>
  <c r="AL43" i="4"/>
  <c r="AL40" i="4"/>
  <c r="AJ26" i="4"/>
  <c r="AJ27" i="4"/>
  <c r="AK45" i="4"/>
  <c r="AL45" i="4"/>
  <c r="AL44" i="4"/>
  <c r="AK44" i="4"/>
  <c r="AL73" i="4"/>
  <c r="AL78" i="4"/>
  <c r="AL72" i="4"/>
  <c r="AJ25" i="4"/>
  <c r="D65" i="4"/>
  <c r="E65" i="4" s="1"/>
  <c r="E73" i="4"/>
  <c r="D73" i="4"/>
  <c r="F73" i="4"/>
  <c r="G73" i="4"/>
  <c r="E72" i="4"/>
  <c r="F72" i="4"/>
  <c r="G72" i="4"/>
  <c r="D72" i="4"/>
  <c r="AL42" i="4"/>
  <c r="AK42" i="4"/>
  <c r="AK77" i="4"/>
  <c r="AL77" i="4"/>
  <c r="D76" i="4"/>
  <c r="E76" i="4"/>
  <c r="F76" i="4"/>
  <c r="G76" i="4"/>
  <c r="AL75" i="4"/>
  <c r="G70" i="4"/>
  <c r="H70" i="4" s="1"/>
  <c r="D69" i="4"/>
  <c r="F69" i="4" s="1"/>
  <c r="G68" i="4"/>
  <c r="H68" i="4" s="1"/>
  <c r="G67" i="4"/>
  <c r="H67" i="4" s="1"/>
  <c r="D66" i="4"/>
  <c r="D75" i="4"/>
  <c r="G75" i="4"/>
  <c r="F75" i="4"/>
  <c r="E75" i="4"/>
  <c r="G74" i="4"/>
  <c r="H74" i="4" s="1"/>
  <c r="G71" i="4"/>
  <c r="H71" i="4" s="1"/>
  <c r="AL76" i="4"/>
  <c r="AA18" i="3"/>
  <c r="Z18" i="3"/>
  <c r="AA15" i="3"/>
  <c r="Z15" i="3"/>
  <c r="Z17" i="3"/>
  <c r="AA17" i="3" s="1"/>
  <c r="AA16" i="3"/>
  <c r="Z16" i="3"/>
  <c r="Y15" i="4"/>
  <c r="D64" i="4"/>
  <c r="E64" i="4" s="1"/>
  <c r="B6" i="4"/>
  <c r="C6" i="4"/>
  <c r="D6" i="4"/>
  <c r="B7" i="4"/>
  <c r="C7" i="4"/>
  <c r="H7" i="4" s="1"/>
  <c r="D7" i="4"/>
  <c r="B8" i="4"/>
  <c r="H8" i="1"/>
  <c r="I8" i="1"/>
  <c r="E74" i="4" l="1"/>
  <c r="F74" i="4"/>
  <c r="E41" i="4"/>
  <c r="C31" i="3"/>
  <c r="D70" i="4"/>
  <c r="F70" i="4" s="1"/>
  <c r="E37" i="4"/>
  <c r="F37" i="4"/>
  <c r="G36" i="4"/>
  <c r="H36" i="4" s="1"/>
  <c r="D35" i="4"/>
  <c r="D33" i="4"/>
  <c r="E34" i="4"/>
  <c r="F34" i="4"/>
  <c r="E69" i="4"/>
  <c r="F36" i="4"/>
  <c r="G34" i="4"/>
  <c r="H34" i="4" s="1"/>
  <c r="G65" i="4"/>
  <c r="H65" i="4" s="1"/>
  <c r="D38" i="4"/>
  <c r="AK27" i="4"/>
  <c r="AL27" i="4"/>
  <c r="AK26" i="4"/>
  <c r="AL26" i="4"/>
  <c r="AL25" i="4"/>
  <c r="AK25" i="4"/>
  <c r="D68" i="4"/>
  <c r="D67" i="4"/>
  <c r="F65" i="4"/>
  <c r="D71" i="4"/>
  <c r="F66" i="4"/>
  <c r="E66" i="4"/>
  <c r="G66" i="4"/>
  <c r="H66" i="4" s="1"/>
  <c r="G69" i="4"/>
  <c r="H69" i="4" s="1"/>
  <c r="H6" i="4"/>
  <c r="F6" i="4"/>
  <c r="F64" i="4"/>
  <c r="G64" i="4"/>
  <c r="H64" i="4" s="1"/>
  <c r="E7" i="4"/>
  <c r="F7" i="4"/>
  <c r="I7" i="4" s="1"/>
  <c r="E6" i="4"/>
  <c r="E70" i="4" l="1"/>
  <c r="BF14" i="4"/>
  <c r="BF15" i="4"/>
  <c r="BF12" i="4"/>
  <c r="G6" i="4"/>
  <c r="Z12" i="4"/>
  <c r="Z13" i="4"/>
  <c r="F35" i="4"/>
  <c r="E35" i="4"/>
  <c r="F33" i="4"/>
  <c r="E33" i="4"/>
  <c r="B51" i="4"/>
  <c r="C51" i="4" s="1"/>
  <c r="B52" i="4"/>
  <c r="C52" i="4" s="1"/>
  <c r="B22" i="4"/>
  <c r="C22" i="4" s="1"/>
  <c r="B60" i="4"/>
  <c r="C60" i="4" s="1"/>
  <c r="B53" i="4"/>
  <c r="C53" i="4" s="1"/>
  <c r="B16" i="4"/>
  <c r="C16" i="4" s="1"/>
  <c r="B23" i="4"/>
  <c r="C23" i="4" s="1"/>
  <c r="B54" i="4"/>
  <c r="C54" i="4" s="1"/>
  <c r="B17" i="4"/>
  <c r="C17" i="4" s="1"/>
  <c r="B27" i="4"/>
  <c r="C27" i="4" s="1"/>
  <c r="B55" i="4"/>
  <c r="C55" i="4" s="1"/>
  <c r="B18" i="4"/>
  <c r="C18" i="4" s="1"/>
  <c r="B21" i="4"/>
  <c r="C21" i="4" s="1"/>
  <c r="B24" i="4"/>
  <c r="C24" i="4" s="1"/>
  <c r="B56" i="4"/>
  <c r="C56" i="4" s="1"/>
  <c r="B19" i="4"/>
  <c r="C19" i="4" s="1"/>
  <c r="B49" i="4"/>
  <c r="C49" i="4" s="1"/>
  <c r="B57" i="4"/>
  <c r="C57" i="4" s="1"/>
  <c r="B20" i="4"/>
  <c r="B59" i="4"/>
  <c r="C59" i="4" s="1"/>
  <c r="B58" i="4"/>
  <c r="C58" i="4" s="1"/>
  <c r="B48" i="4"/>
  <c r="C48" i="4" s="1"/>
  <c r="B25" i="4"/>
  <c r="C25" i="4" s="1"/>
  <c r="B26" i="4"/>
  <c r="C26" i="4" s="1"/>
  <c r="B50" i="4"/>
  <c r="C50" i="4" s="1"/>
  <c r="F38" i="4"/>
  <c r="E38" i="4"/>
  <c r="F68" i="4"/>
  <c r="E68" i="4"/>
  <c r="F67" i="4"/>
  <c r="E67" i="4"/>
  <c r="F71" i="4"/>
  <c r="E71" i="4"/>
  <c r="I6" i="4"/>
  <c r="G7" i="4"/>
  <c r="C20" i="4" l="1"/>
  <c r="D20" i="4" s="1"/>
  <c r="C12" i="3"/>
  <c r="BF16" i="4"/>
  <c r="D6" i="3"/>
  <c r="Z15" i="4"/>
  <c r="E59" i="4"/>
  <c r="G59" i="4"/>
  <c r="H59" i="4"/>
  <c r="F59" i="4"/>
  <c r="D59" i="4"/>
  <c r="D18" i="4"/>
  <c r="D19" i="4"/>
  <c r="G56" i="4"/>
  <c r="E56" i="4"/>
  <c r="H56" i="4"/>
  <c r="F56" i="4"/>
  <c r="D56" i="4"/>
  <c r="E23" i="4"/>
  <c r="D23" i="4"/>
  <c r="H23" i="4"/>
  <c r="G23" i="4"/>
  <c r="F23" i="4"/>
  <c r="D16" i="4"/>
  <c r="D50" i="4"/>
  <c r="H57" i="4"/>
  <c r="E57" i="4"/>
  <c r="G57" i="4"/>
  <c r="F57" i="4"/>
  <c r="D57" i="4"/>
  <c r="E60" i="4"/>
  <c r="F60" i="4"/>
  <c r="G60" i="4"/>
  <c r="H60" i="4"/>
  <c r="D60" i="4"/>
  <c r="G55" i="4"/>
  <c r="H55" i="4" s="1"/>
  <c r="D22" i="4"/>
  <c r="E22" i="4" s="1"/>
  <c r="D21" i="4"/>
  <c r="E27" i="4"/>
  <c r="H27" i="4"/>
  <c r="G27" i="4"/>
  <c r="F27" i="4"/>
  <c r="D27" i="4"/>
  <c r="G54" i="4"/>
  <c r="H54" i="4" s="1"/>
  <c r="F26" i="4"/>
  <c r="G26" i="4"/>
  <c r="E26" i="4"/>
  <c r="H26" i="4"/>
  <c r="D26" i="4"/>
  <c r="G48" i="4"/>
  <c r="H48" i="4" s="1"/>
  <c r="D48" i="4"/>
  <c r="E48" i="4" s="1"/>
  <c r="D52" i="4"/>
  <c r="D49" i="4"/>
  <c r="E49" i="4" s="1"/>
  <c r="E24" i="4"/>
  <c r="F24" i="4"/>
  <c r="G24" i="4"/>
  <c r="D24" i="4"/>
  <c r="H24" i="4"/>
  <c r="D17" i="4"/>
  <c r="D53" i="4"/>
  <c r="E25" i="4"/>
  <c r="D25" i="4"/>
  <c r="F25" i="4" s="1"/>
  <c r="G25" i="4"/>
  <c r="H25" i="4" s="1"/>
  <c r="G58" i="4"/>
  <c r="H58" i="4" s="1"/>
  <c r="D58" i="4"/>
  <c r="E58" i="4" s="1"/>
  <c r="F58" i="4"/>
  <c r="D51" i="4"/>
  <c r="B15" i="4"/>
  <c r="C15" i="4" s="1"/>
  <c r="G19" i="4" l="1"/>
  <c r="H19" i="4" s="1"/>
  <c r="G22" i="4"/>
  <c r="H22" i="4" s="1"/>
  <c r="D54" i="4"/>
  <c r="F54" i="4" s="1"/>
  <c r="G21" i="4"/>
  <c r="H21" i="4" s="1"/>
  <c r="F22" i="4"/>
  <c r="E18" i="4"/>
  <c r="F18" i="4"/>
  <c r="G18" i="4"/>
  <c r="H18" i="4" s="1"/>
  <c r="F49" i="4"/>
  <c r="G16" i="4"/>
  <c r="H16" i="4" s="1"/>
  <c r="E19" i="4"/>
  <c r="F19" i="4"/>
  <c r="D55" i="4"/>
  <c r="E55" i="4" s="1"/>
  <c r="F51" i="4"/>
  <c r="E51" i="4"/>
  <c r="E50" i="4"/>
  <c r="F50" i="4"/>
  <c r="E52" i="4"/>
  <c r="F52" i="4"/>
  <c r="F20" i="4"/>
  <c r="E20" i="4"/>
  <c r="F53" i="4"/>
  <c r="E53" i="4"/>
  <c r="F21" i="4"/>
  <c r="E21" i="4"/>
  <c r="F16" i="4"/>
  <c r="E16" i="4"/>
  <c r="E17" i="4"/>
  <c r="F17" i="4"/>
  <c r="G50" i="4"/>
  <c r="H50" i="4" s="1"/>
  <c r="G20" i="4"/>
  <c r="H20" i="4" s="1"/>
  <c r="D15" i="4"/>
  <c r="G51" i="4"/>
  <c r="H51" i="4" s="1"/>
  <c r="G53" i="4"/>
  <c r="H53" i="4" s="1"/>
  <c r="G52" i="4"/>
  <c r="H52" i="4" s="1"/>
  <c r="G49" i="4"/>
  <c r="H49" i="4" s="1"/>
  <c r="F48" i="4"/>
  <c r="G17" i="4"/>
  <c r="H17" i="4" s="1"/>
  <c r="C8" i="3"/>
  <c r="C15" i="3"/>
  <c r="C7" i="3"/>
  <c r="C17" i="3"/>
  <c r="C9" i="3"/>
  <c r="C13" i="3"/>
  <c r="C14" i="3"/>
  <c r="C10" i="3"/>
  <c r="C11" i="3"/>
  <c r="C16" i="3"/>
  <c r="C18" i="3"/>
  <c r="F55" i="4" l="1"/>
  <c r="E54" i="4"/>
  <c r="E15" i="4"/>
  <c r="F15" i="4"/>
  <c r="D17" i="3"/>
  <c r="E17" i="3" s="1"/>
  <c r="D15" i="3"/>
  <c r="E15" i="3"/>
  <c r="D18" i="3"/>
  <c r="E18" i="3"/>
  <c r="D16" i="3"/>
  <c r="E16" i="3"/>
  <c r="G15" i="4"/>
  <c r="H15" i="4" s="1"/>
  <c r="D11" i="3" l="1"/>
  <c r="E11" i="3" s="1"/>
  <c r="D10" i="3"/>
  <c r="E10" i="3" s="1"/>
  <c r="D9" i="3"/>
  <c r="E9" i="3" s="1"/>
  <c r="D8" i="3"/>
  <c r="E8" i="3" s="1"/>
  <c r="E7" i="3" l="1"/>
  <c r="E32" i="4"/>
  <c r="D13" i="3"/>
  <c r="E13" i="3" s="1"/>
  <c r="D14" i="3"/>
  <c r="E14" i="3" s="1"/>
  <c r="D12" i="3"/>
  <c r="E12" i="3" s="1"/>
  <c r="G32" i="4"/>
  <c r="H32" i="4" s="1"/>
  <c r="Z10" i="3"/>
  <c r="AA10" i="3" s="1"/>
  <c r="Z12" i="3"/>
  <c r="AA12" i="3" s="1"/>
  <c r="Z9" i="3"/>
  <c r="AA9" i="3" s="1"/>
  <c r="Z11" i="3"/>
  <c r="AA11" i="3" s="1"/>
  <c r="Z14" i="3"/>
  <c r="AA14" i="3" s="1"/>
  <c r="Z13" i="3"/>
  <c r="AA13" i="3" s="1"/>
  <c r="Z8" i="3"/>
  <c r="AA8" i="3" s="1"/>
  <c r="AI23" i="4"/>
  <c r="AJ23" i="4" s="1"/>
  <c r="AM23" i="4" l="1"/>
  <c r="AN23" i="4" s="1"/>
  <c r="AK23" i="4"/>
  <c r="AL23" i="4"/>
  <c r="Z7" i="3"/>
  <c r="AA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Machado</author>
  </authors>
  <commentList>
    <comment ref="H5" authorId="0" shapeId="0" xr:uid="{C713FC43-FDEC-4FFA-8B62-2D5188C28FA6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Só é efetuado o cálculo quando é indicada a tarifa</t>
        </r>
      </text>
    </comment>
    <comment ref="X11" authorId="0" shapeId="0" xr:uid="{D1C5545A-2AD0-4A96-9737-62CDD275C998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Irá depender do número de horas de funcionamento indicados no módulo de solar</t>
        </r>
      </text>
    </comment>
    <comment ref="BD11" authorId="0" shapeId="0" xr:uid="{3BC34F63-0011-4800-ACBF-C2616CAE8CD5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Irá depender do número de horas de funcionamento indicados no módulo de solar</t>
        </r>
      </text>
    </comment>
    <comment ref="AO13" authorId="0" shapeId="0" xr:uid="{85CDC53C-1525-4B1A-8CDA-DC7E07120696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Só é efetuado o cálculo quando é indicada a tarifa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Machado</author>
  </authors>
  <commentList>
    <comment ref="U6" authorId="0" shapeId="0" xr:uid="{0E5787C8-D2E8-464C-944B-444717E79BC4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Valor de mercado francês segundo: https://www.apeg.pt/folder/documento/ficheiro/853_Plano-de-Acao-para-o-Biometano-vpdf.pdf
Plano Ação Biometano
</t>
        </r>
      </text>
    </comment>
    <comment ref="U7" authorId="0" shapeId="0" xr:uid="{28F0AB41-7188-41F0-B930-BD4BCDE21568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Calculado de momento para um valor de 6,5 €/kg H2</t>
        </r>
      </text>
    </comment>
    <comment ref="U8" authorId="0" shapeId="0" xr:uid="{AD46772D-1EBA-447C-AE11-D0F5B0759002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Com base num preço de 50€/ton biomassa
https://www.dinheirovivo.pt/economia/biomassa-duplica-preco-novas-centrais-podem-falir-antes-de-abrir-portas-12782817.html/</t>
        </r>
      </text>
    </comment>
    <comment ref="T10" authorId="0" shapeId="0" xr:uid="{9D9107F7-38ED-4936-B3D8-41DCC302DC49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Segundo documento da APA</t>
        </r>
      </text>
    </comment>
    <comment ref="U10" authorId="0" shapeId="0" xr:uid="{91E3AE57-8689-4BE4-8158-E57E81314E70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Com base na base de dados da IEA para Portugal - 2023</t>
        </r>
      </text>
    </comment>
    <comment ref="S13" authorId="0" shapeId="0" xr:uid="{2E62F48B-C481-450E-81EA-B0E8330B493C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De acordo com excel enviado</t>
        </r>
      </text>
    </comment>
    <comment ref="U13" authorId="0" shapeId="0" xr:uid="{16F9B4E1-0F28-45EE-A4C0-2D42378F5B36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Com base na base de dados da IEA para Portugal - 2023</t>
        </r>
      </text>
    </comment>
    <comment ref="S14" authorId="0" shapeId="0" xr:uid="{940FD9B7-1F3E-4207-83FE-E7F714D5B063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De acordo com excel enviado
</t>
        </r>
      </text>
    </comment>
    <comment ref="U14" authorId="0" shapeId="0" xr:uid="{9D4740AF-9900-40DD-A913-9AD4BD4AE2C9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Preço de GPL canalizado segundo https://portal.azores.gov.pt/web/fracde/pre%C3%A7o-combust%C3%Adveis
1,41 €/kg</t>
        </r>
      </text>
    </comment>
    <comment ref="U15" authorId="0" shapeId="0" xr:uid="{1142F57B-ADE0-4234-9278-61D3B80E7A5B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No momento com base no preço spot - 690 €/ton
https://markets.businessinsider.com/commodities/naphthapreis</t>
        </r>
      </text>
    </comment>
    <comment ref="S16" authorId="0" shapeId="0" xr:uid="{0B877E69-467D-4D3F-9253-008B165F6BD7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De acordo com Excel enviado</t>
        </r>
      </text>
    </comment>
    <comment ref="U16" authorId="0" shapeId="0" xr:uid="{B0DAF876-D8F8-4C2C-92AA-93971509245A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Com base no boletim da ERSE 1º semestre 2024 - 1º - 1.610 €/l
https://www.erse.pt/media/vgzljxht/1t2024-boletim-preços-ue-27.pdf</t>
        </r>
      </text>
    </comment>
    <comment ref="U17" authorId="0" shapeId="0" xr:uid="{EB4B357D-8FEC-4712-B3D8-ED3AD4BB54D5}">
      <text>
        <r>
          <rPr>
            <b/>
            <sz val="9"/>
            <color indexed="81"/>
            <rFont val="Tahoma"/>
            <family val="2"/>
          </rPr>
          <t xml:space="preserve">Francisco Machado:
</t>
        </r>
        <r>
          <rPr>
            <sz val="9"/>
            <color indexed="81"/>
            <rFont val="Tahoma"/>
            <family val="2"/>
          </rPr>
          <t>Base de dados IEA - portugal 2023 - 1155,03 €/ton</t>
        </r>
      </text>
    </comment>
    <comment ref="U18" authorId="0" shapeId="0" xr:uid="{198E5677-05CB-422D-BA40-F5EA8034A2B1}">
      <text>
        <r>
          <rPr>
            <b/>
            <sz val="9"/>
            <color indexed="81"/>
            <rFont val="Tahoma"/>
            <family val="2"/>
          </rPr>
          <t>Francisco Machado:</t>
        </r>
        <r>
          <rPr>
            <sz val="9"/>
            <color indexed="81"/>
            <rFont val="Tahoma"/>
            <family val="2"/>
          </rPr>
          <t xml:space="preserve">
Para já com base numa notícia acerca da evolução do preço de coque em importações
360€/ton
https://www.spglobal.com/commodityinsights/pt/our-methodology/price-assessments/metals/calcined-petroleum-coke#:~:text=</t>
        </r>
      </text>
    </comment>
  </commentList>
</comments>
</file>

<file path=xl/sharedStrings.xml><?xml version="1.0" encoding="utf-8"?>
<sst xmlns="http://schemas.openxmlformats.org/spreadsheetml/2006/main" count="483" uniqueCount="144">
  <si>
    <t>1. Possui algum equipamento de energia térmica nas suas instalações?</t>
  </si>
  <si>
    <t>Sim</t>
  </si>
  <si>
    <t>Não</t>
  </si>
  <si>
    <t>Caso não possuam equipamentos acaba.</t>
  </si>
  <si>
    <t>2. Tem conhecimento dos consumos anuais de cada vetor energético por equipamento ou apenas os globais?</t>
  </si>
  <si>
    <t>Equipamento</t>
  </si>
  <si>
    <t>Global</t>
  </si>
  <si>
    <t>3.1 Selecione os vetores energéticos usados nas susas instalações e correspondente consumo anual.</t>
  </si>
  <si>
    <t>3.2 Selecione os equipamentos existentes e respetiva potência nominal bem como a eficiência de catálogo e o vetor energético consumido.</t>
  </si>
  <si>
    <t>2.1. Selecione os equipamentos existentes e respetiva potência nominal bem como a eficiência de catálogo, vetor energético e consumo anual.</t>
  </si>
  <si>
    <t>3.3 Já é efetuada a recuperação de calor residual dos processos industriais? (Pergunta específica a cada um dos equipamentos indicados)</t>
  </si>
  <si>
    <t>2.2. Já é efetuada a recuperação de calor residual dos processos industriais?</t>
  </si>
  <si>
    <t>3.4 Indique a temperatura e caudal dos gases de exaustão.</t>
  </si>
  <si>
    <t>Caso já procedam à recuperação de calor residual acaba.</t>
  </si>
  <si>
    <t>2.3. Indique a temperatura e caudal dos gases de exaustão.</t>
  </si>
  <si>
    <t>4. Tem conhecimento da tarifa associada a cada um dos vetores energéticos consumidos?</t>
  </si>
  <si>
    <t>Caso não saiba as tarifas associadas é usada a base de dados.</t>
  </si>
  <si>
    <t>4.1</t>
  </si>
  <si>
    <t>Indique, por vetor energético, a tarifa de referência.</t>
  </si>
  <si>
    <t>Consumo por equipamento ou fábrica</t>
  </si>
  <si>
    <t>Consumo por fábrica</t>
  </si>
  <si>
    <t>Caso seja consumo por equipamento</t>
  </si>
  <si>
    <t>Potência Nominal [kW]</t>
  </si>
  <si>
    <t>Eficiência de catálogo [%]</t>
  </si>
  <si>
    <t>Combustível</t>
  </si>
  <si>
    <t>Consumo anual por equipamento [unidade/ano]</t>
  </si>
  <si>
    <t>(Unidade/ano)</t>
  </si>
  <si>
    <t>Sistema de recuperação térmica</t>
  </si>
  <si>
    <t>Forno</t>
  </si>
  <si>
    <t>Gás Natural</t>
  </si>
  <si>
    <t>m3/ano</t>
  </si>
  <si>
    <t>Caldeira</t>
  </si>
  <si>
    <t>GPL</t>
  </si>
  <si>
    <t>Cogeração</t>
  </si>
  <si>
    <t>kWh/ano</t>
  </si>
  <si>
    <t>Queimador (Dedicado a estufas ou banhos térmicos)</t>
  </si>
  <si>
    <t>(…)</t>
  </si>
  <si>
    <t>Caso seja consumo por fábrica</t>
  </si>
  <si>
    <t>Consumo por fábrica [unidade/ano]</t>
  </si>
  <si>
    <t>Número de horas de funcionamento</t>
  </si>
  <si>
    <t>Definição de tarifas</t>
  </si>
  <si>
    <t>Tem conhecimento da tarifa associada a cada um dos vetores energéticos?</t>
  </si>
  <si>
    <t>Vetor energético</t>
  </si>
  <si>
    <t>Tarifa referência</t>
  </si>
  <si>
    <t>Unidade</t>
  </si>
  <si>
    <t>€/kWh</t>
  </si>
  <si>
    <t>Cálculos auxiliares</t>
  </si>
  <si>
    <t>Cálculos auxiliares caso apenas seja conhecido o consumo por fábrica</t>
  </si>
  <si>
    <t>Potencial de descarbonização (Potencial alteração de vetor energético)</t>
  </si>
  <si>
    <t>Potencial descarbonização - recuperação de calor</t>
  </si>
  <si>
    <t>Rendimento (%)</t>
  </si>
  <si>
    <t>Fator Emissão  (kgCO2e/kWh)</t>
  </si>
  <si>
    <t>Consumo kWh/ano</t>
  </si>
  <si>
    <r>
      <t>Emissões Kg CO</t>
    </r>
    <r>
      <rPr>
        <b/>
        <vertAlign val="subscript"/>
        <sz val="11"/>
        <color theme="1"/>
        <rFont val="Calibri"/>
        <family val="2"/>
        <scheme val="minor"/>
      </rPr>
      <t>2eq</t>
    </r>
  </si>
  <si>
    <t>Conversão tarifa de energia (€/kWh)</t>
  </si>
  <si>
    <t>Custo de energia (€/ano)</t>
  </si>
  <si>
    <t>Cp gases de exaustão</t>
  </si>
  <si>
    <t>kJ/kg.K</t>
  </si>
  <si>
    <t>Temperatura mínima</t>
  </si>
  <si>
    <t>°C</t>
  </si>
  <si>
    <t>Consumo fábrica</t>
  </si>
  <si>
    <t>Unidades</t>
  </si>
  <si>
    <t>Consumo (kWh/ano)</t>
  </si>
  <si>
    <t>Cenários para cada equipamento</t>
  </si>
  <si>
    <t>Consumo anual [unidade/ano]</t>
  </si>
  <si>
    <t>Temperatura de gases de exaustão [°C]</t>
  </si>
  <si>
    <t>Caudal de gases de exaustão [m3/h]</t>
  </si>
  <si>
    <t>Massa volúmica dos gases [kg/m3]</t>
  </si>
  <si>
    <t>Potência possível de ser recuperada (kW)</t>
  </si>
  <si>
    <t>Horas de funcionamento anuais</t>
  </si>
  <si>
    <t>Energia anual possivel de recuperar (kWh)</t>
  </si>
  <si>
    <t>Preponderância no consumo total da fábrica</t>
  </si>
  <si>
    <t>Redução de emissões de GEE (kg CO2/ano)</t>
  </si>
  <si>
    <t>Poupança económica</t>
  </si>
  <si>
    <t>Consumo anual [kWh/ano]</t>
  </si>
  <si>
    <t>Soluções Para Caldeiras</t>
  </si>
  <si>
    <t xml:space="preserve"> * repetir esta tabela para todos os equipamentos</t>
  </si>
  <si>
    <t>Potência</t>
  </si>
  <si>
    <t>Alternativas Viáveis</t>
  </si>
  <si>
    <r>
      <t>Redução das Emissões (kg CO</t>
    </r>
    <r>
      <rPr>
        <b/>
        <vertAlign val="subscript"/>
        <sz val="11"/>
        <color theme="1"/>
        <rFont val="Calibri"/>
        <family val="2"/>
        <scheme val="minor"/>
      </rPr>
      <t>2eq</t>
    </r>
    <r>
      <rPr>
        <b/>
        <sz val="11"/>
        <color theme="1"/>
        <rFont val="Calibri"/>
        <family val="2"/>
        <scheme val="minor"/>
      </rPr>
      <t>)</t>
    </r>
  </si>
  <si>
    <t>Redução das Emissões (%)</t>
  </si>
  <si>
    <t>Custo de energia (€)</t>
  </si>
  <si>
    <t>Poupança económica (€)</t>
  </si>
  <si>
    <t>Total</t>
  </si>
  <si>
    <t>Soluções Para Cogeração</t>
  </si>
  <si>
    <t>Soluções Para Fornos</t>
  </si>
  <si>
    <t>Soluções Para Queimadores dedicados a estufas ou banhos térmicos</t>
  </si>
  <si>
    <t>Resultados (Consumo por equipamento)</t>
  </si>
  <si>
    <t>Resultados (Consumo por fábrica)</t>
  </si>
  <si>
    <t>Mudança de vetor energético</t>
  </si>
  <si>
    <t>Cenário</t>
  </si>
  <si>
    <t>Emissões [ton Co2/ano]</t>
  </si>
  <si>
    <t>Descarbonização [%]</t>
  </si>
  <si>
    <t>Base</t>
  </si>
  <si>
    <t>-</t>
  </si>
  <si>
    <t>Gráfico referente ao caso do biometano</t>
  </si>
  <si>
    <t>Recuperação de calor</t>
  </si>
  <si>
    <t>Listas</t>
  </si>
  <si>
    <t>Equipamentos</t>
  </si>
  <si>
    <t>Combustível Caldeira</t>
  </si>
  <si>
    <t>Combustível Cogeração</t>
  </si>
  <si>
    <t>Combustível Forno</t>
  </si>
  <si>
    <t>Combustível Queimador (Dedicado a estufas ou banhos térmicos)</t>
  </si>
  <si>
    <t>Unidades combustível</t>
  </si>
  <si>
    <t>Unidades tarifa</t>
  </si>
  <si>
    <t>Biometano</t>
  </si>
  <si>
    <t>Consumo por equipamento</t>
  </si>
  <si>
    <t>Combustível Alternativo</t>
  </si>
  <si>
    <t>PCI (GJ/ton)</t>
  </si>
  <si>
    <t>PCI (MJ/kg)</t>
  </si>
  <si>
    <r>
      <t>Massa Volúmica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</si>
  <si>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kWh/Ton</t>
  </si>
  <si>
    <r>
      <t>kWh/m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</si>
  <si>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kwh</t>
  </si>
  <si>
    <r>
      <t>Fator Emissão (kgCO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e/GJ)</t>
    </r>
  </si>
  <si>
    <r>
      <t>Fator Emissão (kgCO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e/kWh)</t>
    </r>
  </si>
  <si>
    <t>Tarifa referência(€/kWh)</t>
  </si>
  <si>
    <t>Hidrogénio</t>
  </si>
  <si>
    <t>ton/ano</t>
  </si>
  <si>
    <r>
      <t>€/m</t>
    </r>
    <r>
      <rPr>
        <vertAlign val="superscript"/>
        <sz val="11"/>
        <color theme="1"/>
        <rFont val="Calibri"/>
        <family val="2"/>
        <scheme val="minor"/>
      </rPr>
      <t>3</t>
    </r>
  </si>
  <si>
    <t>Ton/ano</t>
  </si>
  <si>
    <r>
      <t>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/ano</t>
    </r>
  </si>
  <si>
    <t>Biomassa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</si>
  <si>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/ano</t>
    </r>
  </si>
  <si>
    <t>€/ton</t>
  </si>
  <si>
    <r>
      <t>€/m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</si>
  <si>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Eletricidade</t>
  </si>
  <si>
    <t>Nafta</t>
  </si>
  <si>
    <t>Gasóleo</t>
  </si>
  <si>
    <t>GN + Biometano 50 %</t>
  </si>
  <si>
    <t>Fuelóleo</t>
  </si>
  <si>
    <t>Coque de Petroleo</t>
  </si>
  <si>
    <t>GN + H2  20 %</t>
  </si>
  <si>
    <t>Resíduos Industriais</t>
  </si>
  <si>
    <t>GN + H2  10 %</t>
  </si>
  <si>
    <t>Média</t>
  </si>
  <si>
    <t>Gás natural</t>
  </si>
  <si>
    <t>H2</t>
  </si>
  <si>
    <t>Quantidade</t>
  </si>
  <si>
    <t>Densidade
[kg/m3]</t>
  </si>
  <si>
    <t>Fator emissão 
[kgCO2/kWh]</t>
  </si>
  <si>
    <t>Fator emissão 
[kgCO2/m3]</t>
  </si>
  <si>
    <t>PCI
[kWh/kg]</t>
  </si>
  <si>
    <t>Mistura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</si>
</sst>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-* #,##0.00\ [$€-816]_-;\-* #,##0.00\ [$€-816]_-;_-* &quot;-&quot;??\ [$€-816]_-;_-@_-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0" borderId="1" xfId="0" applyFont="1" applyBorder="1"/>
    <xf numFmtId="164" fontId="0" fillId="2" borderId="1" xfId="0" applyNumberFormat="1" applyFill="1" applyBorder="1"/>
    <xf numFmtId="0" fontId="5" fillId="3" borderId="3" xfId="0" applyFont="1" applyFill="1" applyBorder="1"/>
    <xf numFmtId="0" fontId="5" fillId="0" borderId="3" xfId="0" applyFont="1" applyBorder="1"/>
    <xf numFmtId="0" fontId="0" fillId="4" borderId="1" xfId="0" applyFill="1" applyBorder="1"/>
    <xf numFmtId="0" fontId="2" fillId="0" borderId="0" xfId="0" applyFont="1"/>
    <xf numFmtId="165" fontId="0" fillId="0" borderId="0" xfId="0" applyNumberFormat="1"/>
    <xf numFmtId="4" fontId="0" fillId="0" borderId="1" xfId="0" applyNumberFormat="1" applyBorder="1"/>
    <xf numFmtId="3" fontId="0" fillId="2" borderId="1" xfId="0" applyNumberFormat="1" applyFill="1" applyBorder="1"/>
    <xf numFmtId="2" fontId="0" fillId="2" borderId="1" xfId="0" applyNumberForma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0" xfId="0" applyFill="1"/>
    <xf numFmtId="0" fontId="0" fillId="2" borderId="9" xfId="0" applyFill="1" applyBorder="1"/>
    <xf numFmtId="0" fontId="0" fillId="2" borderId="10" xfId="0" applyFill="1" applyBorder="1"/>
    <xf numFmtId="0" fontId="0" fillId="2" borderId="2" xfId="0" applyFill="1" applyBorder="1"/>
    <xf numFmtId="0" fontId="0" fillId="2" borderId="11" xfId="0" applyFill="1" applyBorder="1"/>
    <xf numFmtId="3" fontId="0" fillId="0" borderId="1" xfId="0" applyNumberFormat="1" applyBorder="1"/>
    <xf numFmtId="3" fontId="0" fillId="2" borderId="1" xfId="1" applyNumberFormat="1" applyFont="1" applyFill="1" applyBorder="1"/>
    <xf numFmtId="166" fontId="0" fillId="0" borderId="1" xfId="0" applyNumberFormat="1" applyBorder="1"/>
    <xf numFmtId="10" fontId="0" fillId="0" borderId="1" xfId="1" applyNumberFormat="1" applyFont="1" applyBorder="1"/>
    <xf numFmtId="0" fontId="10" fillId="0" borderId="0" xfId="0" applyFont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5" xfId="0" applyFont="1" applyFill="1" applyBorder="1"/>
    <xf numFmtId="0" fontId="0" fillId="0" borderId="5" xfId="0" applyBorder="1"/>
    <xf numFmtId="0" fontId="0" fillId="0" borderId="7" xfId="0" applyBorder="1"/>
    <xf numFmtId="0" fontId="2" fillId="6" borderId="12" xfId="0" applyFont="1" applyFill="1" applyBorder="1"/>
    <xf numFmtId="0" fontId="2" fillId="0" borderId="1" xfId="0" applyFont="1" applyBorder="1"/>
    <xf numFmtId="0" fontId="0" fillId="7" borderId="0" xfId="0" applyFill="1"/>
    <xf numFmtId="0" fontId="0" fillId="0" borderId="0" xfId="0" applyAlignment="1">
      <alignment horizontal="center"/>
    </xf>
    <xf numFmtId="10" fontId="0" fillId="0" borderId="0" xfId="1" applyNumberFormat="1" applyFont="1"/>
    <xf numFmtId="0" fontId="2" fillId="6" borderId="3" xfId="0" applyFont="1" applyFill="1" applyBorder="1" applyAlignment="1">
      <alignment horizontal="center"/>
    </xf>
    <xf numFmtId="0" fontId="0" fillId="4" borderId="0" xfId="0" applyFill="1"/>
    <xf numFmtId="0" fontId="2" fillId="6" borderId="14" xfId="0" applyFont="1" applyFill="1" applyBorder="1"/>
    <xf numFmtId="0" fontId="0" fillId="8" borderId="0" xfId="0" applyFill="1"/>
    <xf numFmtId="0" fontId="0" fillId="0" borderId="14" xfId="0" applyBorder="1"/>
    <xf numFmtId="0" fontId="0" fillId="2" borderId="14" xfId="0" applyFill="1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10" borderId="0" xfId="0" applyFill="1"/>
    <xf numFmtId="3" fontId="0" fillId="0" borderId="0" xfId="0" applyNumberFormat="1"/>
    <xf numFmtId="166" fontId="0" fillId="2" borderId="3" xfId="0" applyNumberFormat="1" applyFill="1" applyBorder="1"/>
    <xf numFmtId="166" fontId="0" fillId="2" borderId="1" xfId="0" applyNumberFormat="1" applyFill="1" applyBorder="1"/>
    <xf numFmtId="0" fontId="0" fillId="2" borderId="15" xfId="0" applyFill="1" applyBorder="1"/>
    <xf numFmtId="0" fontId="0" fillId="2" borderId="4" xfId="0" applyFill="1" applyBorder="1"/>
    <xf numFmtId="0" fontId="0" fillId="2" borderId="13" xfId="0" applyFill="1" applyBorder="1"/>
    <xf numFmtId="0" fontId="0" fillId="0" borderId="9" xfId="0" applyBorder="1"/>
    <xf numFmtId="0" fontId="11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9" fontId="0" fillId="0" borderId="1" xfId="1" applyFont="1" applyBorder="1"/>
    <xf numFmtId="10" fontId="0" fillId="0" borderId="0" xfId="1" applyNumberFormat="1" applyFont="1" applyBorder="1"/>
    <xf numFmtId="9" fontId="0" fillId="0" borderId="0" xfId="1" applyFont="1" applyBorder="1"/>
    <xf numFmtId="164" fontId="0" fillId="0" borderId="1" xfId="0" applyNumberFormat="1" applyBorder="1"/>
    <xf numFmtId="0" fontId="0" fillId="0" borderId="0" xfId="0" applyAlignment="1">
      <alignment wrapText="1"/>
    </xf>
    <xf numFmtId="167" fontId="0" fillId="2" borderId="1" xfId="0" applyNumberFormat="1" applyFill="1" applyBorder="1"/>
    <xf numFmtId="2" fontId="0" fillId="0" borderId="0" xfId="1" applyNumberFormat="1" applyFont="1"/>
    <xf numFmtId="4" fontId="0" fillId="0" borderId="0" xfId="0" applyNumberForma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 wrapText="1"/>
    </xf>
    <xf numFmtId="0" fontId="13" fillId="0" borderId="0" xfId="0" applyFont="1" applyAlignment="1">
      <alignment horizontal="center" wrapText="1"/>
    </xf>
    <xf numFmtId="0" fontId="9" fillId="5" borderId="0" xfId="0" applyFont="1" applyFill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5"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da redução de emissões</a:t>
            </a:r>
            <a:r>
              <a:rPr lang="en-US" baseline="0"/>
              <a:t> por equipamento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030833765689949E-2"/>
          <c:y val="0.30654974404563695"/>
          <c:w val="0.81393833246862013"/>
          <c:h val="0.50085687303733251"/>
        </c:manualLayout>
      </c:layout>
      <c:pie3DChart>
        <c:varyColors val="1"/>
        <c:ser>
          <c:idx val="0"/>
          <c:order val="0"/>
          <c:tx>
            <c:strRef>
              <c:f>Processamento!$B$6:$B$9</c:f>
              <c:strCache>
                <c:ptCount val="4"/>
                <c:pt idx="0">
                  <c:v>Forno</c:v>
                </c:pt>
                <c:pt idx="1">
                  <c:v>Caldeira</c:v>
                </c:pt>
                <c:pt idx="2">
                  <c:v>Cogeração</c:v>
                </c:pt>
                <c:pt idx="3">
                  <c:v>Queimador (Dedicado a estufas ou banhos térmicos)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D9C-4228-AD7F-4FAC966DA6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9C-4228-AD7F-4FAC966DA6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D9C-4228-AD7F-4FAC966DA6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C6A-4F75-9E5C-0BED52590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(Processamento!$E$15,Processamento!$E$32,Processamento!$E$48,Processamento!$E$64)</c:f>
              <c:numCache>
                <c:formatCode>#,##0</c:formatCode>
                <c:ptCount val="4"/>
                <c:pt idx="0">
                  <c:v>178086.47139105882</c:v>
                </c:pt>
                <c:pt idx="1">
                  <c:v>9988.7657142857151</c:v>
                </c:pt>
                <c:pt idx="2">
                  <c:v>8623.8180000000011</c:v>
                </c:pt>
                <c:pt idx="3">
                  <c:v>3.3080781176470588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9C-4228-AD7F-4FAC966DA6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Energia possível de recuperar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3561370775913476"/>
          <c:y val="0.17367100349817421"/>
          <c:w val="0.8335549131799842"/>
          <c:h val="0.717704935198239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(Processamento!$M$12,Processamento!$M$13)</c:f>
              <c:strCache>
                <c:ptCount val="2"/>
                <c:pt idx="0">
                  <c:v>Forno</c:v>
                </c:pt>
                <c:pt idx="1">
                  <c:v>Caldeira</c:v>
                </c:pt>
              </c:strCache>
            </c:strRef>
          </c:cat>
          <c:val>
            <c:numRef>
              <c:f>(Processamento!$AA$12,Processamento!$AA$13)</c:f>
              <c:numCache>
                <c:formatCode>#,##0</c:formatCode>
                <c:ptCount val="2"/>
                <c:pt idx="0">
                  <c:v>12329.321825000972</c:v>
                </c:pt>
                <c:pt idx="1">
                  <c:v>49347.284552419129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C-4916-A60A-43AF6505B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810079"/>
        <c:axId val="626810911"/>
      </c:barChart>
      <c:catAx>
        <c:axId val="6268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6810911"/>
        <c:crosses val="autoZero"/>
        <c:auto val="1"/>
        <c:lblAlgn val="ctr"/>
        <c:lblOffset val="100"/>
        <c:noMultiLvlLbl val="0"/>
      </c:catAx>
      <c:valAx>
        <c:axId val="6268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MWh</a:t>
                </a:r>
              </a:p>
            </c:rich>
          </c:tx>
          <c:layout>
            <c:manualLayout>
              <c:xMode val="edge"/>
              <c:yMode val="edge"/>
              <c:x val="1.961996849328794E-2"/>
              <c:y val="5.20950701109623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68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da redução de emissões por equipamento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Processamento!$B$6:$B$8</c:f>
              <c:strCache>
                <c:ptCount val="3"/>
                <c:pt idx="0">
                  <c:v>Forno</c:v>
                </c:pt>
                <c:pt idx="1">
                  <c:v>Caldeira</c:v>
                </c:pt>
                <c:pt idx="2">
                  <c:v>Cogeração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8A-447A-A674-34EEC00EBA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8A-447A-A674-34EEC00EBA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18A-447A-A674-34EEC00EBA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5BA-4A57-ADAE-198A67C97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(Processamento!$AK$23,Processamento!$AK$39,Processamento!$AK$55,Processamento!$AK$71)</c:f>
              <c:numCache>
                <c:formatCode>#,##0</c:formatCode>
                <c:ptCount val="4"/>
                <c:pt idx="0">
                  <c:v>0</c:v>
                </c:pt>
                <c:pt idx="1">
                  <c:v>2917.7062184873953</c:v>
                </c:pt>
                <c:pt idx="2">
                  <c:v>1999.1901176470587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8A-447A-A674-34EEC00EBA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Energia possível de recuperar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6830691500839903"/>
          <c:y val="0.17391530691588067"/>
          <c:w val="0.80090054406033495"/>
          <c:h val="0.6142899549633703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(Processamento!$AT$12,Processamento!$AT$14,Processamento!$AT$15)</c:f>
              <c:strCache>
                <c:ptCount val="3"/>
                <c:pt idx="0">
                  <c:v>Caldeira</c:v>
                </c:pt>
                <c:pt idx="1">
                  <c:v>Cogeração</c:v>
                </c:pt>
                <c:pt idx="2">
                  <c:v>Queimador (Dedicado a estufas ou banhos térmicos)</c:v>
                </c:pt>
              </c:strCache>
            </c:strRef>
          </c:cat>
          <c:val>
            <c:numRef>
              <c:f>(Processamento!$BE$12,Processamento!$BE$14,Processamento!$BE$15)</c:f>
              <c:numCache>
                <c:formatCode>#,##0</c:formatCode>
                <c:ptCount val="3"/>
                <c:pt idx="0">
                  <c:v>60721.457006060518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2-4ACB-AE10-9F9D37B4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810079"/>
        <c:axId val="626810911"/>
      </c:barChart>
      <c:catAx>
        <c:axId val="6268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6810911"/>
        <c:crosses val="autoZero"/>
        <c:auto val="1"/>
        <c:lblAlgn val="ctr"/>
        <c:lblOffset val="100"/>
        <c:noMultiLvlLbl val="0"/>
      </c:catAx>
      <c:valAx>
        <c:axId val="6268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MWh/ano</a:t>
                </a:r>
              </a:p>
            </c:rich>
          </c:tx>
          <c:layout>
            <c:manualLayout>
              <c:xMode val="edge"/>
              <c:yMode val="edge"/>
              <c:x val="1.119728761136948E-2"/>
              <c:y val="5.818209744127850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68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Potencial</a:t>
            </a:r>
            <a:r>
              <a:rPr lang="pt-PT" baseline="0"/>
              <a:t> de e</a:t>
            </a:r>
            <a:r>
              <a:rPr lang="pt-PT"/>
              <a:t>nergia</a:t>
            </a:r>
            <a:r>
              <a:rPr lang="pt-PT" baseline="0"/>
              <a:t> recuperada relativa ao consumo total dos processos térmcos</a:t>
            </a:r>
          </a:p>
        </c:rich>
      </c:tx>
      <c:layout>
        <c:manualLayout>
          <c:xMode val="edge"/>
          <c:yMode val="edge"/>
          <c:x val="0.154335817426440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3561370775913476"/>
          <c:y val="0.17367100349817421"/>
          <c:w val="0.8335549131799842"/>
          <c:h val="0.717704935198239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(Processamento!$M$12,Processamento!$M$13)</c:f>
              <c:strCache>
                <c:ptCount val="2"/>
                <c:pt idx="0">
                  <c:v>Forno</c:v>
                </c:pt>
                <c:pt idx="1">
                  <c:v>Caldeira</c:v>
                </c:pt>
              </c:strCache>
            </c:strRef>
          </c:cat>
          <c:val>
            <c:numRef>
              <c:f>(Processamento!$Z$12,Processamento!$Z$13)</c:f>
              <c:numCache>
                <c:formatCode>0.00%</c:formatCode>
                <c:ptCount val="2"/>
                <c:pt idx="0">
                  <c:v>5.7713432884139187E-2</c:v>
                </c:pt>
                <c:pt idx="1">
                  <c:v>0.20645832505483244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F-4B88-A0F9-8E4EA99B1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810079"/>
        <c:axId val="626810911"/>
      </c:barChart>
      <c:catAx>
        <c:axId val="6268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6810911"/>
        <c:crosses val="autoZero"/>
        <c:auto val="1"/>
        <c:lblAlgn val="ctr"/>
        <c:lblOffset val="100"/>
        <c:noMultiLvlLbl val="0"/>
      </c:catAx>
      <c:valAx>
        <c:axId val="6268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68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Potencial</a:t>
            </a:r>
            <a:r>
              <a:rPr lang="pt-PT" baseline="0"/>
              <a:t> de energia recuperada relativa ao consumo total dos processos térmicos</a:t>
            </a:r>
          </a:p>
        </c:rich>
      </c:tx>
      <c:layout>
        <c:manualLayout>
          <c:xMode val="edge"/>
          <c:yMode val="edge"/>
          <c:x val="0.1504067998733381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6830691500839903"/>
          <c:y val="0.17391530691588067"/>
          <c:w val="0.80090054406033495"/>
          <c:h val="0.6142899549633703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(Processamento!$AT$12,Processamento!$AT$14,Processamento!$AT$15)</c:f>
              <c:strCache>
                <c:ptCount val="3"/>
                <c:pt idx="0">
                  <c:v>Caldeira</c:v>
                </c:pt>
                <c:pt idx="1">
                  <c:v>Cogeração</c:v>
                </c:pt>
                <c:pt idx="2">
                  <c:v>Queimador (Dedicado a estufas ou banhos térmicos)</c:v>
                </c:pt>
              </c:strCache>
            </c:strRef>
          </c:cat>
          <c:val>
            <c:numRef>
              <c:f>(Processamento!$BF$12,Processamento!$BF$14,Processamento!$BF$15)</c:f>
              <c:numCache>
                <c:formatCode>0.00%</c:formatCode>
                <c:ptCount val="3"/>
                <c:pt idx="0">
                  <c:v>5.7713432884139187E-2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7-44B4-B6E3-1C8AFD5ED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810079"/>
        <c:axId val="626810911"/>
      </c:barChart>
      <c:catAx>
        <c:axId val="6268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6810911"/>
        <c:crosses val="autoZero"/>
        <c:auto val="1"/>
        <c:lblAlgn val="ctr"/>
        <c:lblOffset val="100"/>
        <c:noMultiLvlLbl val="0"/>
      </c:catAx>
      <c:valAx>
        <c:axId val="6268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MWh/ano</a:t>
                </a:r>
              </a:p>
            </c:rich>
          </c:tx>
          <c:layout>
            <c:manualLayout>
              <c:xMode val="edge"/>
              <c:yMode val="edge"/>
              <c:x val="1.119728761136948E-2"/>
              <c:y val="5.818209744127850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68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2</xdr:row>
      <xdr:rowOff>17145</xdr:rowOff>
    </xdr:from>
    <xdr:to>
      <xdr:col>3</xdr:col>
      <xdr:colOff>95250</xdr:colOff>
      <xdr:row>2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0B835F3-965A-4057-B150-5EB3BDCEF71E}"/>
            </a:ext>
          </a:extLst>
        </xdr:cNvPr>
        <xdr:cNvCxnSpPr/>
      </xdr:nvCxnSpPr>
      <xdr:spPr>
        <a:xfrm flipH="1">
          <a:off x="4076700" y="379095"/>
          <a:ext cx="409575" cy="971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529590</xdr:colOff>
      <xdr:row>1</xdr:row>
      <xdr:rowOff>93346</xdr:rowOff>
    </xdr:from>
    <xdr:to>
      <xdr:col>5</xdr:col>
      <xdr:colOff>544830</xdr:colOff>
      <xdr:row>1</xdr:row>
      <xdr:rowOff>93346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545A9EF-E267-4F7A-AEB1-B89AEEC16AD9}"/>
            </a:ext>
          </a:extLst>
        </xdr:cNvPr>
        <xdr:cNvCxnSpPr/>
      </xdr:nvCxnSpPr>
      <xdr:spPr>
        <a:xfrm>
          <a:off x="5530215" y="274321"/>
          <a:ext cx="6248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293370</xdr:colOff>
      <xdr:row>8</xdr:row>
      <xdr:rowOff>104776</xdr:rowOff>
    </xdr:from>
    <xdr:to>
      <xdr:col>11</xdr:col>
      <xdr:colOff>342900</xdr:colOff>
      <xdr:row>9</xdr:row>
      <xdr:rowOff>123825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CC672A0-D114-4BB4-9C8D-A97CA2B93C40}"/>
            </a:ext>
          </a:extLst>
        </xdr:cNvPr>
        <xdr:cNvCxnSpPr/>
      </xdr:nvCxnSpPr>
      <xdr:spPr>
        <a:xfrm>
          <a:off x="10170795" y="1733551"/>
          <a:ext cx="49530" cy="2000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8</xdr:row>
      <xdr:rowOff>139065</xdr:rowOff>
    </xdr:from>
    <xdr:to>
      <xdr:col>10</xdr:col>
      <xdr:colOff>125730</xdr:colOff>
      <xdr:row>9</xdr:row>
      <xdr:rowOff>133350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9D4FF43-C779-49BB-9EAE-ACA3CC99753F}"/>
            </a:ext>
          </a:extLst>
        </xdr:cNvPr>
        <xdr:cNvCxnSpPr/>
      </xdr:nvCxnSpPr>
      <xdr:spPr>
        <a:xfrm flipH="1">
          <a:off x="7372350" y="1405890"/>
          <a:ext cx="2021205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4</xdr:row>
      <xdr:rowOff>28575</xdr:rowOff>
    </xdr:from>
    <xdr:to>
      <xdr:col>11</xdr:col>
      <xdr:colOff>100965</xdr:colOff>
      <xdr:row>5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6589AEF-9B10-4817-BE98-82E09F687BD7}"/>
            </a:ext>
          </a:extLst>
        </xdr:cNvPr>
        <xdr:cNvCxnSpPr/>
      </xdr:nvCxnSpPr>
      <xdr:spPr>
        <a:xfrm flipH="1">
          <a:off x="4191000" y="933450"/>
          <a:ext cx="5787390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567690</xdr:colOff>
      <xdr:row>3</xdr:row>
      <xdr:rowOff>91441</xdr:rowOff>
    </xdr:from>
    <xdr:to>
      <xdr:col>15</xdr:col>
      <xdr:colOff>510540</xdr:colOff>
      <xdr:row>3</xdr:row>
      <xdr:rowOff>91441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A100EDB-D103-4310-B54E-CE4B45BCC33C}"/>
            </a:ext>
          </a:extLst>
        </xdr:cNvPr>
        <xdr:cNvCxnSpPr/>
      </xdr:nvCxnSpPr>
      <xdr:spPr>
        <a:xfrm>
          <a:off x="11911965" y="634366"/>
          <a:ext cx="1771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293370</xdr:colOff>
      <xdr:row>7</xdr:row>
      <xdr:rowOff>104776</xdr:rowOff>
    </xdr:from>
    <xdr:to>
      <xdr:col>27</xdr:col>
      <xdr:colOff>342900</xdr:colOff>
      <xdr:row>8</xdr:row>
      <xdr:rowOff>123825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2437B41-9B6E-462F-9A70-7CF025A6055E}"/>
            </a:ext>
          </a:extLst>
        </xdr:cNvPr>
        <xdr:cNvCxnSpPr/>
      </xdr:nvCxnSpPr>
      <xdr:spPr>
        <a:xfrm>
          <a:off x="10168890" y="1731646"/>
          <a:ext cx="51435" cy="2038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544831</xdr:colOff>
      <xdr:row>8</xdr:row>
      <xdr:rowOff>28575</xdr:rowOff>
    </xdr:from>
    <xdr:to>
      <xdr:col>26</xdr:col>
      <xdr:colOff>85725</xdr:colOff>
      <xdr:row>8</xdr:row>
      <xdr:rowOff>129540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0FC1A52-FB72-43ED-95F4-B6AFA5061319}"/>
            </a:ext>
          </a:extLst>
        </xdr:cNvPr>
        <xdr:cNvCxnSpPr/>
      </xdr:nvCxnSpPr>
      <xdr:spPr>
        <a:xfrm flipH="1">
          <a:off x="18594706" y="1476375"/>
          <a:ext cx="5093969" cy="100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14</xdr:row>
      <xdr:rowOff>17145</xdr:rowOff>
    </xdr:from>
    <xdr:to>
      <xdr:col>5</xdr:col>
      <xdr:colOff>95250</xdr:colOff>
      <xdr:row>14</xdr:row>
      <xdr:rowOff>123825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C608B72-A463-4C91-ABF2-ACD683DBD5D0}"/>
            </a:ext>
          </a:extLst>
        </xdr:cNvPr>
        <xdr:cNvCxnSpPr/>
      </xdr:nvCxnSpPr>
      <xdr:spPr>
        <a:xfrm flipH="1">
          <a:off x="4305300" y="2550795"/>
          <a:ext cx="1400175" cy="106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529590</xdr:colOff>
      <xdr:row>13</xdr:row>
      <xdr:rowOff>93346</xdr:rowOff>
    </xdr:from>
    <xdr:to>
      <xdr:col>7</xdr:col>
      <xdr:colOff>544830</xdr:colOff>
      <xdr:row>13</xdr:row>
      <xdr:rowOff>93346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76119EF-C11D-41B7-BB53-F25C92550E3D}"/>
            </a:ext>
          </a:extLst>
        </xdr:cNvPr>
        <xdr:cNvCxnSpPr/>
      </xdr:nvCxnSpPr>
      <xdr:spPr>
        <a:xfrm>
          <a:off x="5530215" y="278131"/>
          <a:ext cx="628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1086186</xdr:colOff>
      <xdr:row>3</xdr:row>
      <xdr:rowOff>177164</xdr:rowOff>
    </xdr:from>
    <xdr:to>
      <xdr:col>12</xdr:col>
      <xdr:colOff>265131</xdr:colOff>
      <xdr:row>18</xdr:row>
      <xdr:rowOff>178509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3A8DD-05BD-421E-9CA5-5CB33D0CC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1710691</xdr:colOff>
      <xdr:row>21</xdr:row>
      <xdr:rowOff>15576</xdr:rowOff>
    </xdr:from>
    <xdr:to>
      <xdr:col>13</xdr:col>
      <xdr:colOff>270286</xdr:colOff>
      <xdr:row>36</xdr:row>
      <xdr:rowOff>34626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20BE20-A6A8-4EE0-AA00-4E54AF29F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1731645</xdr:colOff>
      <xdr:row>6</xdr:row>
      <xdr:rowOff>177165</xdr:rowOff>
    </xdr:from>
    <xdr:to>
      <xdr:col>35</xdr:col>
      <xdr:colOff>300990</xdr:colOff>
      <xdr:row>22</xdr:row>
      <xdr:rowOff>17145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1D38DD-4A58-4AB3-A348-D9C2BCF90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589093</xdr:colOff>
      <xdr:row>27</xdr:row>
      <xdr:rowOff>174364</xdr:rowOff>
    </xdr:from>
    <xdr:to>
      <xdr:col>36</xdr:col>
      <xdr:colOff>284965</xdr:colOff>
      <xdr:row>43</xdr:row>
      <xdr:rowOff>14120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8DF011-9107-4F80-A6A7-5A917A9E1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1703294</xdr:colOff>
      <xdr:row>37</xdr:row>
      <xdr:rowOff>22411</xdr:rowOff>
    </xdr:from>
    <xdr:to>
      <xdr:col>13</xdr:col>
      <xdr:colOff>260984</xdr:colOff>
      <xdr:row>52</xdr:row>
      <xdr:rowOff>41462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D3C448-B429-4FC4-B01A-C0D0FFF35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0</xdr:colOff>
      <xdr:row>28</xdr:row>
      <xdr:rowOff>0</xdr:rowOff>
    </xdr:from>
    <xdr:to>
      <xdr:col>44</xdr:col>
      <xdr:colOff>300989</xdr:colOff>
      <xdr:row>43</xdr:row>
      <xdr:rowOff>19051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F6826F-4648-40CD-9F83-7D65077B6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1038-489F-4F53-BEF3-0D65225C1A52}">
  <dimension ref="A2:AB16"/>
  <sheetViews>
    <sheetView workbookViewId="0">
      <selection activeCell="A39" sqref="A39"/>
    </sheetView>
  </sheetViews>
  <sheetFormatPr defaultRowHeight="14.4" x14ac:dyDescent="0.3"/>
  <cols>
    <col min="1" max="1" width="46.33203125" bestFit="1" customWidth="1"/>
    <col min="12" max="13" width="12.6640625" customWidth="1"/>
    <col min="24" max="24" width="17.6640625" customWidth="1"/>
    <col min="25" max="25" width="15.6640625" customWidth="1"/>
    <col min="27" max="27" width="40" customWidth="1"/>
    <col min="28" max="28" width="7.33203125" customWidth="1"/>
  </cols>
  <sheetData>
    <row r="2" spans="1:28" x14ac:dyDescent="0.3">
      <c r="A2" t="s">
        <v>0</v>
      </c>
      <c r="D2" t="s">
        <v>1</v>
      </c>
      <c r="E2" t="s">
        <v>2</v>
      </c>
      <c r="G2" t="s">
        <v>3</v>
      </c>
    </row>
    <row r="4" spans="1:28" x14ac:dyDescent="0.3">
      <c r="A4" t="s">
        <v>4</v>
      </c>
      <c r="L4" t="s">
        <v>5</v>
      </c>
      <c r="N4" t="s">
        <v>6</v>
      </c>
      <c r="Q4" t="s">
        <v>7</v>
      </c>
    </row>
    <row r="6" spans="1:28" x14ac:dyDescent="0.3">
      <c r="R6" t="s">
        <v>8</v>
      </c>
    </row>
    <row r="7" spans="1:28" x14ac:dyDescent="0.3">
      <c r="B7" t="s">
        <v>9</v>
      </c>
    </row>
    <row r="8" spans="1:28" x14ac:dyDescent="0.3">
      <c r="S8" t="s">
        <v>10</v>
      </c>
      <c r="AA8" t="s">
        <v>2</v>
      </c>
      <c r="AB8" t="s">
        <v>1</v>
      </c>
    </row>
    <row r="9" spans="1:28" x14ac:dyDescent="0.3">
      <c r="C9" t="s">
        <v>11</v>
      </c>
      <c r="K9" t="s">
        <v>2</v>
      </c>
      <c r="L9" t="s">
        <v>1</v>
      </c>
    </row>
    <row r="10" spans="1:28" x14ac:dyDescent="0.3">
      <c r="T10" t="s">
        <v>12</v>
      </c>
      <c r="AB10" t="s">
        <v>13</v>
      </c>
    </row>
    <row r="11" spans="1:28" x14ac:dyDescent="0.3">
      <c r="D11" t="s">
        <v>14</v>
      </c>
      <c r="L11" t="s">
        <v>13</v>
      </c>
    </row>
    <row r="14" spans="1:28" x14ac:dyDescent="0.3">
      <c r="A14" t="s">
        <v>15</v>
      </c>
      <c r="F14" t="s">
        <v>1</v>
      </c>
      <c r="G14" t="s">
        <v>2</v>
      </c>
      <c r="I14" t="s">
        <v>16</v>
      </c>
    </row>
    <row r="16" spans="1:28" x14ac:dyDescent="0.3">
      <c r="B16" t="s">
        <v>17</v>
      </c>
      <c r="C16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40"/>
  <sheetViews>
    <sheetView topLeftCell="A13" zoomScale="85" zoomScaleNormal="85" workbookViewId="0">
      <selection activeCell="D28" sqref="D28"/>
    </sheetView>
  </sheetViews>
  <sheetFormatPr defaultRowHeight="14.4" x14ac:dyDescent="0.3"/>
  <cols>
    <col min="1" max="1" width="72.33203125" bestFit="1" customWidth="1"/>
    <col min="2" max="2" width="32.33203125" bestFit="1" customWidth="1"/>
    <col min="3" max="3" width="31.109375" bestFit="1" customWidth="1"/>
    <col min="4" max="4" width="48.33203125" bestFit="1" customWidth="1"/>
    <col min="5" max="5" width="42.88671875" bestFit="1" customWidth="1"/>
    <col min="6" max="6" width="38" bestFit="1" customWidth="1"/>
    <col min="7" max="7" width="32.33203125" customWidth="1"/>
    <col min="8" max="8" width="46" bestFit="1" customWidth="1"/>
    <col min="9" max="9" width="35.109375" bestFit="1" customWidth="1"/>
    <col min="10" max="10" width="32.44140625" bestFit="1" customWidth="1"/>
    <col min="11" max="11" width="36.109375" bestFit="1" customWidth="1"/>
    <col min="12" max="12" width="33.44140625" bestFit="1" customWidth="1"/>
    <col min="13" max="13" width="10.88671875" customWidth="1"/>
    <col min="15" max="15" width="29.44140625" bestFit="1" customWidth="1"/>
    <col min="16" max="16" width="18.44140625" bestFit="1" customWidth="1"/>
    <col min="17" max="17" width="17" bestFit="1" customWidth="1"/>
    <col min="18" max="18" width="30.33203125" bestFit="1" customWidth="1"/>
    <col min="19" max="19" width="24.33203125" bestFit="1" customWidth="1"/>
    <col min="20" max="20" width="17" bestFit="1" customWidth="1"/>
    <col min="21" max="21" width="19.109375" bestFit="1" customWidth="1"/>
  </cols>
  <sheetData>
    <row r="4" spans="1:12" x14ac:dyDescent="0.3">
      <c r="A4" s="29" t="s">
        <v>19</v>
      </c>
      <c r="B4" s="48" t="s">
        <v>20</v>
      </c>
    </row>
    <row r="7" spans="1:12" ht="18" x14ac:dyDescent="0.35">
      <c r="A7" s="69" t="s">
        <v>21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</row>
    <row r="8" spans="1:12" x14ac:dyDescent="0.3">
      <c r="A8" s="29" t="s">
        <v>5</v>
      </c>
      <c r="B8" s="29" t="s">
        <v>22</v>
      </c>
      <c r="C8" s="29" t="s">
        <v>23</v>
      </c>
      <c r="D8" s="29" t="s">
        <v>24</v>
      </c>
      <c r="E8" s="29" t="s">
        <v>25</v>
      </c>
      <c r="F8" s="29" t="s">
        <v>26</v>
      </c>
      <c r="G8" s="29" t="s">
        <v>27</v>
      </c>
      <c r="H8" s="29" t="str">
        <f>+IF(G9="Sim","","Temperatura de gases de exaustão [°C]")</f>
        <v>Temperatura de gases de exaustão [°C]</v>
      </c>
      <c r="I8" s="29" t="str">
        <f>+IF(G9="Sim","","Caudal de gases de exaustão [m3/h]")</f>
        <v>Caudal de gases de exaustão [m3/h]</v>
      </c>
    </row>
    <row r="9" spans="1:12" x14ac:dyDescent="0.3">
      <c r="A9" s="9" t="s">
        <v>28</v>
      </c>
      <c r="B9" s="1">
        <v>100</v>
      </c>
      <c r="C9" s="1">
        <v>80</v>
      </c>
      <c r="D9" s="9" t="s">
        <v>29</v>
      </c>
      <c r="E9" s="1">
        <v>5000</v>
      </c>
      <c r="F9" s="9" t="s">
        <v>30</v>
      </c>
      <c r="G9" s="9" t="s">
        <v>2</v>
      </c>
      <c r="H9" s="1">
        <v>150</v>
      </c>
      <c r="I9" s="1">
        <v>2000</v>
      </c>
    </row>
    <row r="10" spans="1:12" x14ac:dyDescent="0.3">
      <c r="A10" s="9" t="s">
        <v>31</v>
      </c>
      <c r="B10" s="1">
        <v>150</v>
      </c>
      <c r="C10" s="1">
        <v>80</v>
      </c>
      <c r="D10" s="9" t="s">
        <v>32</v>
      </c>
      <c r="E10" s="1">
        <v>30000</v>
      </c>
      <c r="F10" s="9" t="s">
        <v>30</v>
      </c>
      <c r="G10" s="9" t="s">
        <v>2</v>
      </c>
      <c r="H10" s="1">
        <v>200</v>
      </c>
      <c r="I10" s="1">
        <v>3000</v>
      </c>
    </row>
    <row r="11" spans="1:12" x14ac:dyDescent="0.3">
      <c r="A11" s="9" t="s">
        <v>33</v>
      </c>
      <c r="B11" s="1">
        <v>200</v>
      </c>
      <c r="C11" s="1">
        <v>80</v>
      </c>
      <c r="D11" s="9" t="s">
        <v>29</v>
      </c>
      <c r="E11" s="1">
        <v>60000</v>
      </c>
      <c r="F11" s="9" t="s">
        <v>34</v>
      </c>
      <c r="G11" s="9" t="s">
        <v>2</v>
      </c>
      <c r="H11" s="1">
        <v>250</v>
      </c>
      <c r="I11" s="1">
        <v>1000</v>
      </c>
    </row>
    <row r="12" spans="1:12" x14ac:dyDescent="0.3">
      <c r="A12" s="9" t="s">
        <v>35</v>
      </c>
      <c r="B12" s="1">
        <v>60</v>
      </c>
      <c r="C12" s="1">
        <v>80</v>
      </c>
      <c r="D12" s="9" t="s">
        <v>29</v>
      </c>
      <c r="E12" s="1">
        <v>20</v>
      </c>
      <c r="F12" s="9" t="s">
        <v>34</v>
      </c>
      <c r="G12" s="9" t="s">
        <v>2</v>
      </c>
      <c r="H12" s="1"/>
      <c r="I12" s="1"/>
    </row>
    <row r="13" spans="1:12" x14ac:dyDescent="0.3">
      <c r="A13" s="9"/>
      <c r="B13" s="1"/>
      <c r="C13" s="1"/>
      <c r="D13" s="9"/>
      <c r="E13" s="1"/>
      <c r="F13" s="9" t="s">
        <v>34</v>
      </c>
      <c r="G13" s="9" t="s">
        <v>2</v>
      </c>
      <c r="I13" s="1"/>
    </row>
    <row r="14" spans="1:12" x14ac:dyDescent="0.3">
      <c r="A14" s="67" t="s">
        <v>36</v>
      </c>
      <c r="B14" s="67"/>
      <c r="C14" s="67"/>
      <c r="D14" s="67"/>
      <c r="E14" s="67"/>
      <c r="F14" s="67"/>
      <c r="G14" s="67"/>
      <c r="H14" s="67"/>
      <c r="I14" s="67"/>
      <c r="J14" s="68"/>
      <c r="K14" s="68"/>
    </row>
    <row r="17" spans="1:12" ht="18" x14ac:dyDescent="0.35">
      <c r="A17" s="69" t="s">
        <v>37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</row>
    <row r="18" spans="1:12" x14ac:dyDescent="0.3">
      <c r="A18" s="29" t="s">
        <v>24</v>
      </c>
      <c r="B18" s="29" t="s">
        <v>38</v>
      </c>
      <c r="C18" s="29" t="s">
        <v>26</v>
      </c>
    </row>
    <row r="19" spans="1:12" x14ac:dyDescent="0.3">
      <c r="A19" s="9" t="s">
        <v>29</v>
      </c>
      <c r="B19" s="47">
        <v>30000</v>
      </c>
      <c r="C19" s="9" t="s">
        <v>34</v>
      </c>
    </row>
    <row r="20" spans="1:12" x14ac:dyDescent="0.3">
      <c r="A20" s="9"/>
      <c r="B20" s="47"/>
      <c r="C20" s="9"/>
    </row>
    <row r="21" spans="1:12" x14ac:dyDescent="0.3">
      <c r="A21" s="9"/>
      <c r="B21" s="47"/>
      <c r="C21" s="9"/>
    </row>
    <row r="22" spans="1:12" x14ac:dyDescent="0.3">
      <c r="A22" s="67" t="s">
        <v>36</v>
      </c>
      <c r="B22" s="67"/>
      <c r="C22" s="67"/>
    </row>
    <row r="25" spans="1:12" x14ac:dyDescent="0.3">
      <c r="A25" s="29" t="s">
        <v>5</v>
      </c>
      <c r="B25" s="29" t="s">
        <v>22</v>
      </c>
      <c r="C25" s="29" t="s">
        <v>24</v>
      </c>
      <c r="D25" s="29" t="s">
        <v>23</v>
      </c>
      <c r="E25" s="29" t="s">
        <v>39</v>
      </c>
      <c r="F25" s="29" t="s">
        <v>27</v>
      </c>
      <c r="G25" s="29" t="str">
        <f>+IF(F26="Sim","","Temperatura de gases de exaustão [°C]")</f>
        <v/>
      </c>
      <c r="H25" s="29" t="str">
        <f>+IF(F26="Sim","","Caudal de gases de exaustão [m3/h]")</f>
        <v/>
      </c>
    </row>
    <row r="26" spans="1:12" x14ac:dyDescent="0.3">
      <c r="A26" s="9" t="s">
        <v>31</v>
      </c>
      <c r="B26" s="1">
        <v>350</v>
      </c>
      <c r="C26" s="9" t="s">
        <v>29</v>
      </c>
      <c r="D26" s="1">
        <v>85</v>
      </c>
      <c r="E26" s="47"/>
      <c r="F26" s="9" t="s">
        <v>1</v>
      </c>
      <c r="G26" s="1">
        <v>150</v>
      </c>
      <c r="H26" s="1">
        <v>2000</v>
      </c>
    </row>
    <row r="27" spans="1:12" x14ac:dyDescent="0.3">
      <c r="A27" s="9" t="s">
        <v>28</v>
      </c>
      <c r="B27" s="1">
        <v>500</v>
      </c>
      <c r="C27" s="9" t="s">
        <v>29</v>
      </c>
      <c r="D27" s="1">
        <v>82.5</v>
      </c>
      <c r="E27" s="47"/>
      <c r="F27" s="9" t="s">
        <v>1</v>
      </c>
      <c r="G27" s="1">
        <v>200</v>
      </c>
      <c r="H27" s="1">
        <v>3000</v>
      </c>
    </row>
    <row r="28" spans="1:12" x14ac:dyDescent="0.3">
      <c r="A28" s="9" t="s">
        <v>33</v>
      </c>
      <c r="B28" s="1">
        <v>0</v>
      </c>
      <c r="C28" s="9" t="s">
        <v>29</v>
      </c>
      <c r="D28" s="1">
        <v>80</v>
      </c>
      <c r="E28" s="47"/>
      <c r="F28" s="9" t="s">
        <v>1</v>
      </c>
      <c r="G28" s="1"/>
      <c r="H28" s="1"/>
    </row>
    <row r="29" spans="1:12" x14ac:dyDescent="0.3">
      <c r="A29" s="9" t="s">
        <v>35</v>
      </c>
      <c r="B29" s="1">
        <v>0</v>
      </c>
      <c r="C29" s="9" t="s">
        <v>29</v>
      </c>
      <c r="D29" s="1">
        <v>80</v>
      </c>
      <c r="E29" s="47"/>
      <c r="F29" s="9" t="s">
        <v>1</v>
      </c>
      <c r="G29" s="1"/>
      <c r="H29" s="1"/>
    </row>
    <row r="30" spans="1:12" x14ac:dyDescent="0.3">
      <c r="A30" s="67" t="s">
        <v>36</v>
      </c>
      <c r="B30" s="67"/>
      <c r="C30" s="67"/>
      <c r="D30" s="67"/>
      <c r="E30" s="67"/>
      <c r="F30" s="67"/>
      <c r="G30" s="67"/>
    </row>
    <row r="33" spans="1:12" ht="18" x14ac:dyDescent="0.35">
      <c r="A33" s="70" t="s">
        <v>40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</row>
    <row r="34" spans="1:12" x14ac:dyDescent="0.3">
      <c r="A34" t="s">
        <v>41</v>
      </c>
      <c r="B34" s="41" t="s">
        <v>1</v>
      </c>
    </row>
    <row r="35" spans="1:12" x14ac:dyDescent="0.3">
      <c r="A35" s="29" t="s">
        <v>42</v>
      </c>
      <c r="B35" s="29" t="s">
        <v>43</v>
      </c>
      <c r="C35" s="29" t="s">
        <v>44</v>
      </c>
    </row>
    <row r="36" spans="1:12" x14ac:dyDescent="0.3">
      <c r="A36" s="9" t="s">
        <v>29</v>
      </c>
      <c r="B36" s="1">
        <v>7.8E-2</v>
      </c>
      <c r="C36" s="9" t="s">
        <v>45</v>
      </c>
    </row>
    <row r="37" spans="1:12" x14ac:dyDescent="0.3">
      <c r="A37" s="9" t="s">
        <v>32</v>
      </c>
      <c r="B37" s="1"/>
      <c r="C37" s="9" t="s">
        <v>45</v>
      </c>
    </row>
    <row r="38" spans="1:12" x14ac:dyDescent="0.3">
      <c r="A38" s="9" t="s">
        <v>32</v>
      </c>
      <c r="B38" s="1"/>
      <c r="C38" s="9" t="s">
        <v>45</v>
      </c>
    </row>
    <row r="39" spans="1:12" x14ac:dyDescent="0.3">
      <c r="A39" s="9" t="s">
        <v>29</v>
      </c>
      <c r="B39" s="1"/>
      <c r="C39" s="9" t="s">
        <v>45</v>
      </c>
    </row>
    <row r="40" spans="1:12" x14ac:dyDescent="0.3">
      <c r="A40" s="67" t="s">
        <v>36</v>
      </c>
      <c r="B40" s="67"/>
      <c r="C40" s="67"/>
    </row>
  </sheetData>
  <mergeCells count="7">
    <mergeCell ref="A14:K14"/>
    <mergeCell ref="A7:L7"/>
    <mergeCell ref="A40:C40"/>
    <mergeCell ref="A17:L17"/>
    <mergeCell ref="A33:L33"/>
    <mergeCell ref="A22:C22"/>
    <mergeCell ref="A30:G30"/>
  </mergeCells>
  <conditionalFormatting sqref="A17:L21 A22 D22:L22 A23:L24 A25:B29 D25:L29">
    <cfRule type="expression" dxfId="4" priority="6">
      <formula>$B$4="Consumo por equipamento"</formula>
    </cfRule>
  </conditionalFormatting>
  <conditionalFormatting sqref="A7:L14">
    <cfRule type="expression" dxfId="3" priority="5">
      <formula>$B$4="Consumo por fábrica"</formula>
    </cfRule>
  </conditionalFormatting>
  <conditionalFormatting sqref="A35:C40">
    <cfRule type="expression" dxfId="2" priority="4">
      <formula>$B$34="Não"</formula>
    </cfRule>
  </conditionalFormatting>
  <conditionalFormatting sqref="C25">
    <cfRule type="expression" dxfId="1" priority="3">
      <formula>$B$4="Consumo por equipamento"</formula>
    </cfRule>
  </conditionalFormatting>
  <conditionalFormatting sqref="C26:C29">
    <cfRule type="expression" dxfId="0" priority="1">
      <formula>$B$4="Consumo por equipamento"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C18EB9B-166B-49A1-9E30-A7FF3D17068D}">
          <x14:formula1>
            <xm:f>Apoio!$C$2:$C$3</xm:f>
          </x14:formula1>
          <xm:sqref>G9:G13 B34 F26:F29 H23</xm:sqref>
        </x14:dataValidation>
        <x14:dataValidation type="list" allowBlank="1" showInputMessage="1" showErrorMessage="1" xr:uid="{30C8A6D3-0150-4CCB-8235-293EBC2F6431}">
          <x14:formula1>
            <xm:f>Apoio!$J$2:$J$3</xm:f>
          </x14:formula1>
          <xm:sqref>B4</xm:sqref>
        </x14:dataValidation>
        <x14:dataValidation type="list" allowBlank="1" showInputMessage="1" showErrorMessage="1" xr:uid="{F0429B55-2E18-4C59-BC49-B8D0E9D002A9}">
          <x14:formula1>
            <xm:f>Apoio!$H$3:$H$5</xm:f>
          </x14:formula1>
          <xm:sqref>F9:F13 F23 C19:C21</xm:sqref>
        </x14:dataValidation>
        <x14:dataValidation type="list" allowBlank="1" showInputMessage="1" showErrorMessage="1" xr:uid="{F8D8F6FC-547F-4062-8E55-44C65E8962E1}">
          <x14:formula1>
            <xm:f>Apoio!$B$3:$B$7</xm:f>
          </x14:formula1>
          <xm:sqref>A9:A13 A26:A29</xm:sqref>
        </x14:dataValidation>
        <x14:dataValidation type="list" allowBlank="1" showInputMessage="1" showErrorMessage="1" xr:uid="{A5A85C19-8EFF-4F87-B804-187B0EF67436}">
          <x14:formula1>
            <xm:f>Apoio!$I$3:$I$5</xm:f>
          </x14:formula1>
          <xm:sqref>C36:C39</xm:sqref>
        </x14:dataValidation>
        <x14:dataValidation type="list" allowBlank="1" showInputMessage="1" showErrorMessage="1" xr:uid="{68EA9C5F-3EFB-46D0-9E49-359CC22CEA82}">
          <x14:formula1>
            <xm:f>Apoio!$D$3:$D$13</xm:f>
          </x14:formula1>
          <xm:sqref>D23 C27 A19:A21 D10 D13 A36:A39</xm:sqref>
        </x14:dataValidation>
        <x14:dataValidation type="list" allowBlank="1" showInputMessage="1" showErrorMessage="1" xr:uid="{A53C38CF-EC60-4EFD-8AE5-0CAB19981793}">
          <x14:formula1>
            <xm:f>Apoio!$E$3:$E$12</xm:f>
          </x14:formula1>
          <xm:sqref>D11 C28</xm:sqref>
        </x14:dataValidation>
        <x14:dataValidation type="list" allowBlank="1" showInputMessage="1" showErrorMessage="1" xr:uid="{088F0AC5-8605-45D8-8171-41E6936F7F77}">
          <x14:formula1>
            <xm:f>Apoio!$F$3:$F$13</xm:f>
          </x14:formula1>
          <xm:sqref>D9 C26</xm:sqref>
        </x14:dataValidation>
        <x14:dataValidation type="list" allowBlank="1" showInputMessage="1" showErrorMessage="1" xr:uid="{9C1B376A-3805-4FE4-B98E-6EC5AD65701D}">
          <x14:formula1>
            <xm:f>Apoio!$G$3:$G$12</xm:f>
          </x14:formula1>
          <xm:sqref>D12 C29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8513-98A4-4A33-B65B-423C5A0B49DC}">
  <dimension ref="B1:BH141"/>
  <sheetViews>
    <sheetView topLeftCell="AH8" zoomScale="85" zoomScaleNormal="85" workbookViewId="0">
      <selection activeCell="AI43" sqref="AI43"/>
    </sheetView>
  </sheetViews>
  <sheetFormatPr defaultRowHeight="14.4" x14ac:dyDescent="0.3"/>
  <cols>
    <col min="2" max="2" width="61.109375" bestFit="1" customWidth="1"/>
    <col min="3" max="3" width="17.6640625" bestFit="1" customWidth="1"/>
    <col min="4" max="4" width="16.5546875" bestFit="1" customWidth="1"/>
    <col min="5" max="5" width="29.44140625" bestFit="1" customWidth="1"/>
    <col min="6" max="6" width="23.6640625" bestFit="1" customWidth="1"/>
    <col min="7" max="7" width="18.44140625" bestFit="1" customWidth="1"/>
    <col min="8" max="8" width="33" bestFit="1" customWidth="1"/>
    <col min="9" max="9" width="24.44140625" customWidth="1"/>
    <col min="10" max="10" width="19.44140625" customWidth="1"/>
    <col min="11" max="12" width="8.88671875" customWidth="1"/>
    <col min="13" max="13" width="19.44140625" bestFit="1" customWidth="1"/>
    <col min="14" max="14" width="21.33203125" bestFit="1" customWidth="1"/>
    <col min="15" max="15" width="23.33203125" bestFit="1" customWidth="1"/>
    <col min="16" max="16" width="11.6640625" customWidth="1"/>
    <col min="17" max="17" width="27.6640625" bestFit="1" customWidth="1"/>
    <col min="18" max="18" width="13.88671875" bestFit="1" customWidth="1"/>
    <col min="19" max="19" width="35.109375" bestFit="1" customWidth="1"/>
    <col min="20" max="20" width="32.44140625" bestFit="1" customWidth="1"/>
    <col min="21" max="21" width="31.109375" bestFit="1" customWidth="1"/>
    <col min="22" max="23" width="37.44140625" bestFit="1" customWidth="1"/>
    <col min="24" max="24" width="28.5546875" bestFit="1" customWidth="1"/>
    <col min="25" max="25" width="38.33203125" bestFit="1" customWidth="1"/>
    <col min="26" max="26" width="38.33203125" customWidth="1"/>
    <col min="27" max="27" width="38.44140625" bestFit="1" customWidth="1"/>
    <col min="28" max="28" width="20.33203125" bestFit="1" customWidth="1"/>
    <col min="29" max="32" width="8.88671875" customWidth="1"/>
    <col min="34" max="34" width="63.33203125" bestFit="1" customWidth="1"/>
    <col min="35" max="42" width="32.6640625" customWidth="1"/>
    <col min="46" max="46" width="47.109375" bestFit="1" customWidth="1"/>
    <col min="47" max="47" width="21.33203125" bestFit="1" customWidth="1"/>
    <col min="48" max="48" width="23.33203125" bestFit="1" customWidth="1"/>
    <col min="49" max="49" width="11.6640625" bestFit="1" customWidth="1"/>
    <col min="50" max="50" width="24.44140625" bestFit="1" customWidth="1"/>
    <col min="51" max="51" width="35.109375" bestFit="1" customWidth="1"/>
    <col min="52" max="52" width="32.44140625" bestFit="1" customWidth="1"/>
    <col min="53" max="53" width="31.109375" bestFit="1" customWidth="1"/>
    <col min="54" max="55" width="37.44140625" bestFit="1" customWidth="1"/>
    <col min="56" max="56" width="28.5546875" bestFit="1" customWidth="1"/>
    <col min="57" max="57" width="38.33203125" bestFit="1" customWidth="1"/>
    <col min="58" max="58" width="38.33203125" customWidth="1"/>
    <col min="59" max="59" width="38.44140625" bestFit="1" customWidth="1"/>
    <col min="60" max="60" width="19.33203125" bestFit="1" customWidth="1"/>
  </cols>
  <sheetData>
    <row r="1" spans="2:60" ht="14.4" customHeight="1" x14ac:dyDescent="0.3"/>
    <row r="2" spans="2:60" ht="14.4" customHeight="1" x14ac:dyDescent="0.4">
      <c r="B2" s="73" t="s">
        <v>46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D2" s="43"/>
      <c r="AE2" s="43"/>
      <c r="AF2" s="43"/>
      <c r="AH2" s="73" t="s">
        <v>47</v>
      </c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57"/>
    </row>
    <row r="3" spans="2:60" ht="14.4" customHeight="1" x14ac:dyDescent="0.4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D3" s="43"/>
      <c r="AE3" s="43"/>
      <c r="AF3" s="4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57"/>
    </row>
    <row r="4" spans="2:60" ht="16.2" customHeight="1" x14ac:dyDescent="0.3">
      <c r="B4" s="74" t="s">
        <v>48</v>
      </c>
      <c r="C4" s="74"/>
      <c r="D4" s="74"/>
      <c r="E4" s="74"/>
      <c r="F4" s="74"/>
      <c r="G4" s="74"/>
      <c r="H4" s="74"/>
      <c r="I4" s="75"/>
      <c r="M4" s="75" t="s">
        <v>49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D4" s="43"/>
      <c r="AE4" s="43"/>
      <c r="AF4" s="43"/>
      <c r="AH4" s="74" t="s">
        <v>48</v>
      </c>
      <c r="AI4" s="74"/>
      <c r="AJ4" s="74"/>
      <c r="AK4" s="74"/>
      <c r="AL4" s="74"/>
      <c r="AM4" s="74"/>
      <c r="AN4" s="74"/>
      <c r="AO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58"/>
    </row>
    <row r="5" spans="2:60" ht="15.6" customHeight="1" x14ac:dyDescent="0.35">
      <c r="B5" s="29" t="s">
        <v>5</v>
      </c>
      <c r="C5" s="29" t="s">
        <v>24</v>
      </c>
      <c r="D5" s="29" t="s">
        <v>50</v>
      </c>
      <c r="E5" s="29" t="s">
        <v>51</v>
      </c>
      <c r="F5" s="29" t="s">
        <v>52</v>
      </c>
      <c r="G5" s="29" t="s">
        <v>53</v>
      </c>
      <c r="H5" s="42" t="s">
        <v>54</v>
      </c>
      <c r="I5" s="30" t="s">
        <v>55</v>
      </c>
      <c r="J5" s="10"/>
      <c r="K5" s="37"/>
      <c r="M5" s="1" t="s">
        <v>56</v>
      </c>
      <c r="N5" s="1">
        <v>1.04</v>
      </c>
      <c r="O5" s="1" t="s">
        <v>57</v>
      </c>
      <c r="AD5" s="43"/>
      <c r="AE5" s="43"/>
      <c r="AF5" s="43"/>
      <c r="AR5" s="49"/>
      <c r="AT5" s="1" t="s">
        <v>56</v>
      </c>
      <c r="AU5" s="1">
        <v>1.04</v>
      </c>
      <c r="AV5" s="1" t="s">
        <v>57</v>
      </c>
    </row>
    <row r="6" spans="2:60" ht="14.4" customHeight="1" x14ac:dyDescent="0.3">
      <c r="B6" s="1" t="str">
        <f>+Inputs!A9</f>
        <v>Forno</v>
      </c>
      <c r="C6" s="1" t="str">
        <f>+Inputs!D9</f>
        <v>Gás Natural</v>
      </c>
      <c r="D6" s="1">
        <f>+Inputs!C9</f>
        <v>80</v>
      </c>
      <c r="E6" s="1">
        <f>VLOOKUP(C6,Apoio!L6:T19,9,FALSE)</f>
        <v>0.20304720000000001</v>
      </c>
      <c r="F6" s="24">
        <f>INDEX(Apoio!$P$6:$R$19,MATCH(C6,Apoio!$L$6:$L$19,0),MATCH(Inputs!F9,Apoio!$P$4:$R$4,0))*Inputs!E9</f>
        <v>52500</v>
      </c>
      <c r="G6" s="24">
        <f>VLOOKUP(C6,Apoio!$L$6:$T$19,9,FALSE)*F6</f>
        <v>10659.978000000001</v>
      </c>
      <c r="H6" s="1">
        <f>1/INDEX(Apoio!$P$6:$R$19,MATCH(C6,Apoio!$L$6:$L$19,0),MATCH(VLOOKUP(C6,Inputs!$A$36:$C$39,3,FALSE),Apoio!$P$5:$R$5,0))*VLOOKUP(C6,Inputs!$A$36:$C$39,2,FALSE)</f>
        <v>7.8E-2</v>
      </c>
      <c r="I6" s="1">
        <f>IF(Inputs!$B$34="Sim",H6*F6,VLOOKUP(C6,Apoio!$L$6:$U$19,10,FALSE)*F6)</f>
        <v>4095</v>
      </c>
      <c r="J6" s="11"/>
      <c r="K6" s="37"/>
      <c r="M6" s="1" t="s">
        <v>58</v>
      </c>
      <c r="N6" s="1">
        <v>120</v>
      </c>
      <c r="O6" s="1" t="s">
        <v>59</v>
      </c>
      <c r="AD6" s="43"/>
      <c r="AE6" s="43"/>
      <c r="AF6" s="43"/>
      <c r="AH6" s="29" t="s">
        <v>42</v>
      </c>
      <c r="AI6" s="29" t="s">
        <v>60</v>
      </c>
      <c r="AJ6" s="29" t="s">
        <v>61</v>
      </c>
      <c r="AK6" s="29" t="s">
        <v>62</v>
      </c>
      <c r="AR6" s="49"/>
      <c r="AT6" s="1" t="s">
        <v>58</v>
      </c>
      <c r="AU6" s="1">
        <v>120</v>
      </c>
      <c r="AV6" s="1" t="s">
        <v>59</v>
      </c>
    </row>
    <row r="7" spans="2:60" ht="15.6" customHeight="1" x14ac:dyDescent="0.3">
      <c r="B7" s="1" t="str">
        <f>+Inputs!A10</f>
        <v>Caldeira</v>
      </c>
      <c r="C7" s="1" t="str">
        <f>+Inputs!D10</f>
        <v>GPL</v>
      </c>
      <c r="D7" s="1">
        <f>+Inputs!C10</f>
        <v>80</v>
      </c>
      <c r="E7" s="1">
        <f>VLOOKUP(C7,Apoio!L7:T20,9,FALSE)</f>
        <v>0.22717763999999999</v>
      </c>
      <c r="F7" s="24">
        <f>INDEX(Apoio!$P$6:$R$19,MATCH(C7,Apoio!$L$6:$L$19,0),MATCH(Inputs!F10,Apoio!$P$4:$R$4,0))*Inputs!E10</f>
        <v>939600</v>
      </c>
      <c r="G7" s="24">
        <f>VLOOKUP(C7,Apoio!$L$6:$T$19,9,FALSE)*F7</f>
        <v>213456.110544</v>
      </c>
      <c r="H7" s="1">
        <f>1/INDEX(Apoio!$P$6:$R$19,MATCH(C7,Apoio!$L$6:$L$19,0),MATCH(VLOOKUP(C7,Inputs!$A$36:$C$39,3,FALSE),Apoio!$P$5:$R$5,0))*VLOOKUP(C7,Inputs!$A$36:$C$39,2,FALSE)</f>
        <v>0</v>
      </c>
      <c r="I7" s="1">
        <f>IF(Inputs!$B$34="Sim",H7*F7,VLOOKUP(C7,Apoio!$L$6:$U$19,10,FALSE)*F7)</f>
        <v>0</v>
      </c>
      <c r="J7" s="11"/>
      <c r="K7" s="37"/>
      <c r="AD7" s="43"/>
      <c r="AE7" s="43"/>
      <c r="AF7" s="43"/>
      <c r="AH7" s="1" t="str">
        <f>+Inputs!C26</f>
        <v>Gás Natural</v>
      </c>
      <c r="AI7" s="1">
        <f>+Inputs!B19</f>
        <v>30000</v>
      </c>
      <c r="AJ7" s="1" t="str">
        <f>+Inputs!C19</f>
        <v>kWh/ano</v>
      </c>
      <c r="AK7" s="1">
        <f>INDEX(Apoio!$P$6:$R$19,MATCH(AH7,Apoio!$L$6:$L$19,0),MATCH(Inputs!C19,Apoio!$P$4:$R$4,0))*Inputs!B19</f>
        <v>30000</v>
      </c>
      <c r="AR7" s="49"/>
    </row>
    <row r="8" spans="2:60" ht="14.4" customHeight="1" x14ac:dyDescent="0.3">
      <c r="B8" s="1" t="str">
        <f>+Inputs!A11</f>
        <v>Cogeração</v>
      </c>
      <c r="C8" s="1" t="str">
        <f>+Inputs!D11</f>
        <v>Gás Natural</v>
      </c>
      <c r="D8" s="1">
        <f>+Inputs!C11</f>
        <v>80</v>
      </c>
      <c r="E8" s="1">
        <f>VLOOKUP(C8,Apoio!L9:T21,9,FALSE)</f>
        <v>0.20304720000000001</v>
      </c>
      <c r="F8" s="24">
        <f>INDEX(Apoio!$P$6:$R$19,MATCH(C8,Apoio!$L$6:$L$19,0),MATCH(Inputs!F11,Apoio!$P$4:$R$4,0))*Inputs!E11</f>
        <v>60000</v>
      </c>
      <c r="G8" s="24">
        <f>VLOOKUP(C8,Apoio!$L$6:$T$19,9,FALSE)*F8</f>
        <v>12182.832</v>
      </c>
      <c r="H8" s="1">
        <f>1/INDEX(Apoio!$P$6:$R$19,MATCH(C8,Apoio!$L$6:$L$19,0),MATCH(VLOOKUP(C8,Inputs!$A$36:$C$39,3,FALSE),Apoio!$P$5:$R$5,0))*VLOOKUP(C8,Inputs!$A$36:$C$39,2,FALSE)</f>
        <v>7.8E-2</v>
      </c>
      <c r="I8" s="1">
        <f>IF(Inputs!$B$34="Sim",H8*F8,VLOOKUP(C8,Apoio!$L$6:$U$19,10,FALSE)*F8)</f>
        <v>4680</v>
      </c>
      <c r="J8" s="11"/>
      <c r="K8" s="37"/>
      <c r="AD8" s="43"/>
      <c r="AE8" s="43"/>
      <c r="AF8" s="43"/>
      <c r="AH8" s="1" t="str">
        <f>+Inputs!C27</f>
        <v>Gás Natural</v>
      </c>
      <c r="AI8" s="1">
        <f>+Inputs!B20</f>
        <v>0</v>
      </c>
      <c r="AJ8" s="1">
        <f>+Inputs!C20</f>
        <v>0</v>
      </c>
      <c r="AK8" s="1" t="e">
        <f>INDEX(Apoio!$P$6:$R$19,MATCH(AH8,Apoio!$L$6:$L$19,0),MATCH(Inputs!C20,Apoio!$P$4:$R$4,0))*Inputs!B20</f>
        <v>#N/A</v>
      </c>
      <c r="AR8" s="49"/>
    </row>
    <row r="9" spans="2:60" ht="14.4" customHeight="1" x14ac:dyDescent="0.3">
      <c r="B9" s="1" t="str">
        <f>+Inputs!A12</f>
        <v>Queimador (Dedicado a estufas ou banhos térmicos)</v>
      </c>
      <c r="C9" s="1" t="str">
        <f>+Inputs!D12</f>
        <v>Gás Natural</v>
      </c>
      <c r="D9" s="1">
        <f>+Inputs!C12</f>
        <v>80</v>
      </c>
      <c r="E9" s="1">
        <f>VLOOKUP(C9,Apoio!L11:T22,9,FALSE)</f>
        <v>0.20304720000000001</v>
      </c>
      <c r="F9" s="24">
        <f>INDEX(Apoio!$P$6:$R$19,MATCH(C9,Apoio!$L$6:$L$19,0),MATCH(Inputs!F12,Apoio!$P$4:$R$4,0))*Inputs!E12</f>
        <v>20</v>
      </c>
      <c r="G9" s="24">
        <f>VLOOKUP(C9,Apoio!$L$6:$T$19,9,FALSE)*F9</f>
        <v>4.0609440000000001</v>
      </c>
      <c r="H9" s="1">
        <f>1/INDEX(Apoio!$P$6:$R$19,MATCH(C9,Apoio!$L$6:$L$19,0),MATCH(VLOOKUP(C9,Inputs!$A$36:$C$39,3,FALSE),Apoio!$P$5:$R$5,0))*VLOOKUP(C9,Inputs!$A$36:$C$39,2,FALSE)</f>
        <v>7.8E-2</v>
      </c>
      <c r="I9" s="1">
        <f>IF(Inputs!$B$34="Sim",H9*F9,VLOOKUP(C9,Apoio!$L$6:$U$19,10,FALSE)*F9)</f>
        <v>1.56</v>
      </c>
      <c r="J9" s="11"/>
      <c r="K9" s="37"/>
      <c r="AD9" s="43"/>
      <c r="AE9" s="43"/>
      <c r="AF9" s="43"/>
      <c r="AH9" s="76" t="s">
        <v>36</v>
      </c>
      <c r="AI9" s="76"/>
      <c r="AJ9" s="76"/>
      <c r="AK9" s="76"/>
      <c r="AR9" s="49"/>
    </row>
    <row r="10" spans="2:60" ht="14.4" customHeight="1" x14ac:dyDescent="0.3">
      <c r="B10" s="67" t="s">
        <v>36</v>
      </c>
      <c r="C10" s="67"/>
      <c r="D10" s="67"/>
      <c r="E10" s="67"/>
      <c r="F10" s="67"/>
      <c r="G10" s="67"/>
      <c r="H10" s="67"/>
      <c r="I10" s="68"/>
      <c r="K10" s="37"/>
      <c r="AD10" s="43"/>
      <c r="AE10" s="43"/>
      <c r="AF10" s="43"/>
      <c r="AM10" s="50"/>
      <c r="AR10" s="49"/>
    </row>
    <row r="11" spans="2:60" ht="14.4" customHeight="1" x14ac:dyDescent="0.3">
      <c r="B11" s="68" t="s">
        <v>63</v>
      </c>
      <c r="C11" s="68"/>
      <c r="D11" s="68"/>
      <c r="E11" s="68"/>
      <c r="F11" s="68"/>
      <c r="G11" s="68"/>
      <c r="H11" s="68"/>
      <c r="K11" s="37"/>
      <c r="M11" s="29" t="s">
        <v>5</v>
      </c>
      <c r="N11" s="29" t="s">
        <v>22</v>
      </c>
      <c r="O11" s="29" t="s">
        <v>23</v>
      </c>
      <c r="P11" s="29" t="s">
        <v>24</v>
      </c>
      <c r="Q11" s="29" t="s">
        <v>64</v>
      </c>
      <c r="R11" s="35" t="s">
        <v>26</v>
      </c>
      <c r="S11" s="29" t="s">
        <v>65</v>
      </c>
      <c r="T11" s="32" t="s">
        <v>66</v>
      </c>
      <c r="U11" s="29" t="s">
        <v>67</v>
      </c>
      <c r="V11" s="29" t="s">
        <v>68</v>
      </c>
      <c r="W11" s="29" t="s">
        <v>68</v>
      </c>
      <c r="X11" s="29" t="s">
        <v>69</v>
      </c>
      <c r="Y11" s="29" t="s">
        <v>70</v>
      </c>
      <c r="Z11" s="29" t="s">
        <v>71</v>
      </c>
      <c r="AA11" s="29" t="s">
        <v>72</v>
      </c>
      <c r="AB11" s="29" t="s">
        <v>73</v>
      </c>
      <c r="AD11" s="43"/>
      <c r="AE11" s="43"/>
      <c r="AF11" s="43"/>
      <c r="AR11" s="49"/>
      <c r="AT11" s="29" t="s">
        <v>5</v>
      </c>
      <c r="AU11" s="29" t="s">
        <v>22</v>
      </c>
      <c r="AV11" s="29" t="s">
        <v>23</v>
      </c>
      <c r="AW11" s="29" t="s">
        <v>24</v>
      </c>
      <c r="AX11" s="29" t="s">
        <v>74</v>
      </c>
      <c r="AY11" s="29" t="s">
        <v>65</v>
      </c>
      <c r="AZ11" s="32" t="s">
        <v>66</v>
      </c>
      <c r="BA11" s="29" t="s">
        <v>67</v>
      </c>
      <c r="BB11" s="29" t="s">
        <v>68</v>
      </c>
      <c r="BC11" s="29" t="s">
        <v>68</v>
      </c>
      <c r="BD11" s="29" t="s">
        <v>69</v>
      </c>
      <c r="BE11" s="29" t="s">
        <v>70</v>
      </c>
      <c r="BF11" s="29" t="s">
        <v>71</v>
      </c>
      <c r="BG11" s="29" t="s">
        <v>72</v>
      </c>
      <c r="BH11" s="29" t="s">
        <v>73</v>
      </c>
    </row>
    <row r="12" spans="2:60" ht="14.4" customHeight="1" x14ac:dyDescent="0.3">
      <c r="B12" s="72"/>
      <c r="C12" s="72"/>
      <c r="D12" s="72"/>
      <c r="E12" s="72"/>
      <c r="F12" s="72"/>
      <c r="G12" s="72"/>
      <c r="H12" s="72"/>
      <c r="K12" s="37"/>
      <c r="M12" s="1" t="str">
        <f>+Inputs!A9</f>
        <v>Forno</v>
      </c>
      <c r="N12" s="1">
        <f>+Inputs!B9</f>
        <v>100</v>
      </c>
      <c r="O12" s="1">
        <f>+Inputs!C9</f>
        <v>80</v>
      </c>
      <c r="P12" s="1" t="str">
        <f>+Inputs!D9</f>
        <v>Gás Natural</v>
      </c>
      <c r="Q12" s="33">
        <f>+Inputs!E9</f>
        <v>5000</v>
      </c>
      <c r="R12" s="1" t="str">
        <f>+Inputs!F9</f>
        <v>m3/ano</v>
      </c>
      <c r="S12" s="34">
        <f>+Inputs!H9</f>
        <v>150</v>
      </c>
      <c r="T12" s="33">
        <f>+Inputs!I9</f>
        <v>2000</v>
      </c>
      <c r="U12" s="1">
        <f>+(101325*(28.96/1000))/(8.314*(S12+273.15))</f>
        <v>0.83408594788544665</v>
      </c>
      <c r="V12" s="1">
        <f>+T12/3600*U12*$N$5*(S12-$N$6)</f>
        <v>14.457489763347743</v>
      </c>
      <c r="W12" s="1">
        <f>+V12*0.7</f>
        <v>10.12024283434342</v>
      </c>
      <c r="X12" s="1">
        <v>6000</v>
      </c>
      <c r="Y12" s="24">
        <f>X12*W12</f>
        <v>60721.457006060518</v>
      </c>
      <c r="Z12" s="27">
        <f>+Y12/SUM($F$6:$F$9)</f>
        <v>5.7713432884139187E-2</v>
      </c>
      <c r="AA12" s="24">
        <f>VLOOKUP(P12,Apoio!L6:T19,9,FALSE)*Y12</f>
        <v>12329.321825000972</v>
      </c>
      <c r="AB12" s="24">
        <f>+Y12*VLOOKUP(P12,Apoio!$L$6:$U$19,10,FALSE)</f>
        <v>4705.9129179696902</v>
      </c>
      <c r="AD12" s="43"/>
      <c r="AE12" s="43"/>
      <c r="AF12" s="43"/>
      <c r="AR12" s="49"/>
      <c r="AT12" s="1" t="str">
        <f>+Inputs!A26</f>
        <v>Caldeira</v>
      </c>
      <c r="AU12" s="1">
        <f>+Inputs!B9</f>
        <v>100</v>
      </c>
      <c r="AV12" s="1">
        <f>+Inputs!D26</f>
        <v>85</v>
      </c>
      <c r="AW12" s="1" t="str">
        <f>VLOOKUP(AT12,Inputs!A26:H29,3,FALSE)</f>
        <v>Gás Natural</v>
      </c>
      <c r="AX12" s="24">
        <f>+AM14</f>
        <v>12352.941176470587</v>
      </c>
      <c r="AY12" s="34">
        <f>+Inputs!G26</f>
        <v>150</v>
      </c>
      <c r="AZ12" s="33">
        <f>+Inputs!H26</f>
        <v>2000</v>
      </c>
      <c r="BA12" s="1">
        <f>+(101325*(28.96/1000))/(8.314*(AY12+273.15))</f>
        <v>0.83408594788544665</v>
      </c>
      <c r="BB12" s="1">
        <f>+AZ12/3600*BA12*$AU$5*(AY12-$AU$6)</f>
        <v>14.457489763347743</v>
      </c>
      <c r="BC12" s="1">
        <f>+BB12*0.7</f>
        <v>10.12024283434342</v>
      </c>
      <c r="BD12" s="1">
        <v>6000</v>
      </c>
      <c r="BE12" s="24">
        <f>BD12*BC12</f>
        <v>60721.457006060518</v>
      </c>
      <c r="BF12" s="27">
        <f>+BE12/SUM($F$6:$F$9)</f>
        <v>5.7713432884139187E-2</v>
      </c>
      <c r="BG12" s="24">
        <f>VLOOKUP(AW12,Apoio!$L$6:$T$19,9,FALSE)*BE12</f>
        <v>12329.321825000972</v>
      </c>
      <c r="BH12" s="24">
        <f>+BE12*VLOOKUP(AW12,Apoio!$L$6:$U$19,10,FALSE)</f>
        <v>4705.9129179696902</v>
      </c>
    </row>
    <row r="13" spans="2:60" ht="14.4" customHeight="1" x14ac:dyDescent="0.35">
      <c r="B13" s="29" t="s">
        <v>75</v>
      </c>
      <c r="C13" s="71" t="str">
        <f>B7&amp;" "&amp;C7</f>
        <v>Caldeira GPL</v>
      </c>
      <c r="D13" s="71"/>
      <c r="E13" s="71"/>
      <c r="F13" s="71"/>
      <c r="G13" s="71"/>
      <c r="H13" s="71"/>
      <c r="I13" s="10" t="s">
        <v>76</v>
      </c>
      <c r="K13" s="37"/>
      <c r="M13" s="1" t="str">
        <f>+Inputs!A10</f>
        <v>Caldeira</v>
      </c>
      <c r="N13" s="1">
        <f>+IF(M13="Cogeração","",Inputs!B10)</f>
        <v>150</v>
      </c>
      <c r="O13" s="1">
        <f>+IF(M13="Cogeração","",Inputs!C10)</f>
        <v>80</v>
      </c>
      <c r="P13" s="1" t="str">
        <f>+IF(M13="Cogeração","",Inputs!D10)</f>
        <v>GPL</v>
      </c>
      <c r="Q13" s="33">
        <f>+IF(M13="Cogeração","",Inputs!E10)</f>
        <v>30000</v>
      </c>
      <c r="R13" s="1" t="str">
        <f>+IF(M13="Cogeração","",Inputs!F10)</f>
        <v>m3/ano</v>
      </c>
      <c r="S13" s="34">
        <f>+IF(M13="Cogeração","",Inputs!H10)</f>
        <v>200</v>
      </c>
      <c r="T13" s="33">
        <f>+IF(M13="Cogeração","",Inputs!I10)</f>
        <v>3000</v>
      </c>
      <c r="U13" s="1">
        <f>+IF(M13="Cogeração","",(101325*(28.96/1000))/(8.314*(S13+273.15)))</f>
        <v>0.74594413790072223</v>
      </c>
      <c r="V13" s="1">
        <f>+IF(M13="Cogeração","",T13/3600*U13*$N$5*(S13-$N$6))</f>
        <v>51.71879356111674</v>
      </c>
      <c r="W13" s="1">
        <f>+IF(M13="Cogeração","",V13*0.7)</f>
        <v>36.203155492781718</v>
      </c>
      <c r="X13" s="1">
        <v>6000</v>
      </c>
      <c r="Y13" s="24">
        <f>+IF(M13="Cogeração","",X13*W13)</f>
        <v>217218.93295669032</v>
      </c>
      <c r="Z13" s="27">
        <f t="shared" ref="Z13" si="0">+Y13/SUM($F$6:$F$9)</f>
        <v>0.20645832505483244</v>
      </c>
      <c r="AA13" s="24">
        <f>+IF(M13="Cogeração","",VLOOKUP(P13,Apoio!L7:T20,9,FALSE)*Y13)</f>
        <v>49347.284552419129</v>
      </c>
      <c r="AB13" s="24">
        <f>+Y13*VLOOKUP(P13,Apoio!$L$6:$U$19,10,FALSE)</f>
        <v>23729.29584851017</v>
      </c>
      <c r="AD13" s="43"/>
      <c r="AE13" s="43"/>
      <c r="AF13" s="43"/>
      <c r="AH13" s="29" t="s">
        <v>5</v>
      </c>
      <c r="AI13" s="29" t="s">
        <v>77</v>
      </c>
      <c r="AJ13" s="29" t="s">
        <v>24</v>
      </c>
      <c r="AK13" s="29" t="s">
        <v>50</v>
      </c>
      <c r="AL13" s="29" t="s">
        <v>51</v>
      </c>
      <c r="AM13" s="29" t="s">
        <v>52</v>
      </c>
      <c r="AN13" s="29" t="s">
        <v>53</v>
      </c>
      <c r="AO13" s="29" t="s">
        <v>54</v>
      </c>
      <c r="AP13" s="30" t="s">
        <v>55</v>
      </c>
      <c r="AR13" s="49"/>
      <c r="AT13" s="1" t="str">
        <f>+Inputs!A27</f>
        <v>Forno</v>
      </c>
      <c r="AU13" s="1">
        <f>IF(AT13="Cogeração","",Inputs!B10)</f>
        <v>150</v>
      </c>
      <c r="AV13" s="1">
        <f>IF(AT13="Cogeração","",Inputs!D27)</f>
        <v>82.5</v>
      </c>
      <c r="AW13" s="1" t="str">
        <f>IF(AT13="Cogeração","",VLOOKUP(AT13,Inputs!A27:H30,3,FALSE))</f>
        <v>Gás Natural</v>
      </c>
      <c r="AX13" s="24">
        <f>IF(AT13="Cogeração","",AM15)</f>
        <v>17647.058823529413</v>
      </c>
      <c r="AY13" s="34">
        <f>IF(AT13="Cogeração","",Inputs!G27)</f>
        <v>200</v>
      </c>
      <c r="AZ13" s="33">
        <f>IF(AT13="Cogeração","",Inputs!H27)</f>
        <v>3000</v>
      </c>
      <c r="BA13" s="1">
        <f>IF(AT13="Cogeração","",(101325*(28.96/1000))/(8.314*(AY13+273.15)))</f>
        <v>0.74594413790072223</v>
      </c>
      <c r="BB13" s="1">
        <f>IF(AT13="Cogeração","",AZ13/3600*BA13*$N$5*(AY13-$N$6))</f>
        <v>51.71879356111674</v>
      </c>
      <c r="BC13" s="1">
        <f>IF(AT13="Cogeração","",BB13*0.7)</f>
        <v>36.203155492781718</v>
      </c>
      <c r="BD13" s="1"/>
      <c r="BE13" s="24">
        <f>IF(AT13="Cogeração","",BD13*BC13)</f>
        <v>0</v>
      </c>
      <c r="BF13" s="27">
        <f>IF(AT13="Cogeração","",BE13/SUM($F$6:$F$9))</f>
        <v>0</v>
      </c>
      <c r="BG13" s="24">
        <f>IF(AT13="Cogeração","",VLOOKUP(AW13,Apoio!$L$6:$T$19,9,FALSE)*BE13)</f>
        <v>0</v>
      </c>
      <c r="BH13" s="24">
        <f>IF(AT13="Cogeração","",BE13*VLOOKUP(AW13,Apoio!$L$6:$U$19,10,FALSE))</f>
        <v>0</v>
      </c>
    </row>
    <row r="14" spans="2:60" ht="15.6" customHeight="1" x14ac:dyDescent="0.35">
      <c r="B14" s="29" t="s">
        <v>78</v>
      </c>
      <c r="C14" s="40" t="s">
        <v>52</v>
      </c>
      <c r="D14" s="40" t="s">
        <v>53</v>
      </c>
      <c r="E14" s="40" t="s">
        <v>79</v>
      </c>
      <c r="F14" s="40" t="s">
        <v>80</v>
      </c>
      <c r="G14" s="40" t="s">
        <v>81</v>
      </c>
      <c r="H14" s="40" t="s">
        <v>82</v>
      </c>
      <c r="K14" s="37"/>
      <c r="M14" s="1" t="str">
        <f>+Inputs!A11</f>
        <v>Cogeração</v>
      </c>
      <c r="N14" s="1" t="str">
        <f>IF(M14="Cogeração","",Inputs!B11)</f>
        <v/>
      </c>
      <c r="O14" s="1" t="str">
        <f>IF(M14="Cogeração","",Inputs!C11)</f>
        <v/>
      </c>
      <c r="P14" s="1" t="str">
        <f>IF(M14="Cogeração","",Inputs!D11)</f>
        <v/>
      </c>
      <c r="Q14" s="33" t="str">
        <f>IF(M14="Cogeração","",Inputs!E11)</f>
        <v/>
      </c>
      <c r="R14" s="1" t="str">
        <f>IF(M14="Cogeração","",Inputs!F11)</f>
        <v/>
      </c>
      <c r="S14" s="34" t="str">
        <f>IF(M14="Cogeração","",Inputs!H11)</f>
        <v/>
      </c>
      <c r="T14" s="33" t="str">
        <f>IF(M14="Cogeração","",Inputs!I11)</f>
        <v/>
      </c>
      <c r="U14" s="1" t="str">
        <f>IF(M14="Cogeração","",(101325*(28.96/1000))/(8.314*(S14+273.15)))</f>
        <v/>
      </c>
      <c r="V14" s="1" t="str">
        <f>IF(M14="Cogeração","",T14/3600*U14*$N$5*(S14-$N$6))</f>
        <v/>
      </c>
      <c r="W14" s="1" t="str">
        <f>IF(M14="Cogeração","",V14*0.7)</f>
        <v/>
      </c>
      <c r="X14" s="1" t="str">
        <f>IF(M14="Cogeração","",6000)</f>
        <v/>
      </c>
      <c r="Y14" s="24" t="str">
        <f>IF(M14="Cogeração","",X14*W14)</f>
        <v/>
      </c>
      <c r="Z14" s="27" t="str">
        <f>IF(M14="Cogeração","",Y14/SUM($F$6:$F$9))</f>
        <v/>
      </c>
      <c r="AA14" s="24" t="str">
        <f>IF(M14="Cogeração","",VLOOKUP(P14,Apoio!L9:T21,9,FALSE)*Y14)</f>
        <v/>
      </c>
      <c r="AB14" s="24" t="str">
        <f>IF(M14="Cogeração","",Y14*VLOOKUP(P14,Apoio!$L$6:$U$19,10,FALSE))</f>
        <v/>
      </c>
      <c r="AD14" s="43"/>
      <c r="AE14" s="43"/>
      <c r="AF14" s="43"/>
      <c r="AH14" s="1" t="str">
        <f>+Inputs!A26</f>
        <v>Caldeira</v>
      </c>
      <c r="AI14" s="1">
        <f>+Inputs!B26</f>
        <v>350</v>
      </c>
      <c r="AJ14" s="1" t="str">
        <f>VLOOKUP(AH14,Inputs!A26:H29,3,FALSE)</f>
        <v>Gás Natural</v>
      </c>
      <c r="AK14" s="1">
        <f>+Inputs!D26</f>
        <v>85</v>
      </c>
      <c r="AL14" s="1">
        <f>VLOOKUP(AJ14,Apoio!L6:T19,9,FALSE)</f>
        <v>0.20304720000000001</v>
      </c>
      <c r="AM14" s="24">
        <f>+VLOOKUP(AJ14,$AH$7:$AK$8,4,FALSE)*(AI14/SUMIF($AJ$14:$AJ$17,AJ14,$AI$14:$AI$17))</f>
        <v>12352.941176470587</v>
      </c>
      <c r="AN14" s="24">
        <f>VLOOKUP(AJ14,Apoio!$L$6:$T$19,9,FALSE)*AM14</f>
        <v>2508.2301176470587</v>
      </c>
      <c r="AO14" s="1">
        <f>1/INDEX(Apoio!$P$6:$R$19,MATCH(AJ14,Apoio!$L$6:$L$19,0),MATCH(VLOOKUP(AJ14,Inputs!$A$36:$C$39,3,FALSE),Apoio!$P$5:$R$5,0))*VLOOKUP(AJ14,Inputs!$A$36:$C$39,2,FALSE)</f>
        <v>7.8E-2</v>
      </c>
      <c r="AP14" s="1">
        <f>IF(Inputs!$B$34="Sim",AO14*AM14,VLOOKUP(AJ14,Apoio!$L$6:$U$19,10,FALSE)*AM14)</f>
        <v>963.52941176470586</v>
      </c>
      <c r="AR14" s="49"/>
      <c r="AT14" s="1" t="str">
        <f>+Inputs!A28</f>
        <v>Cogeração</v>
      </c>
      <c r="AU14" s="1">
        <f>+Inputs!B11</f>
        <v>200</v>
      </c>
      <c r="AV14" s="1">
        <f>+Inputs!D28</f>
        <v>80</v>
      </c>
      <c r="AW14" s="1" t="str">
        <f>VLOOKUP(AT14,Inputs!A28:H31,3,FALSE)</f>
        <v>Gás Natural</v>
      </c>
      <c r="AX14" s="24">
        <f t="shared" ref="AX14:AX15" si="1">+AM16</f>
        <v>0</v>
      </c>
      <c r="AY14" s="34">
        <f>+Inputs!G28</f>
        <v>0</v>
      </c>
      <c r="AZ14" s="33">
        <f>+Inputs!H28</f>
        <v>0</v>
      </c>
      <c r="BA14" s="1">
        <f t="shared" ref="BA14:BA15" si="2">+(101325*(28.96/1000))/(8.314*(AY14+273.15))</f>
        <v>1.2921232613865157</v>
      </c>
      <c r="BB14" s="1">
        <f t="shared" ref="BB14:BB15" si="3">+AZ14/3600*BA14*$N$5*(AY14-$N$6)</f>
        <v>0</v>
      </c>
      <c r="BC14" s="1">
        <f t="shared" ref="BC14:BC15" si="4">+BB14*0.7</f>
        <v>0</v>
      </c>
      <c r="BD14" s="1">
        <v>6000</v>
      </c>
      <c r="BE14" s="24">
        <f t="shared" ref="BE14:BE15" si="5">BD14*BC14</f>
        <v>0</v>
      </c>
      <c r="BF14" s="27">
        <f t="shared" ref="BF14:BF15" si="6">+BE14/SUM($F$6:$F$9)</f>
        <v>0</v>
      </c>
      <c r="BG14" s="24">
        <f>VLOOKUP(AW14,Apoio!$L$6:$T$19,9,FALSE)*BE14</f>
        <v>0</v>
      </c>
      <c r="BH14" s="24">
        <f>+BE14*VLOOKUP(AW14,Apoio!$L$6:$U$19,10,FALSE)</f>
        <v>0</v>
      </c>
    </row>
    <row r="15" spans="2:60" ht="14.4" customHeight="1" x14ac:dyDescent="0.3">
      <c r="B15" s="1" t="str">
        <f>IF($E$6/$D$6&gt;Apoio!T6/Apoio!N38,Apoio!M38,"")</f>
        <v>Biometano</v>
      </c>
      <c r="C15" s="12">
        <f>IF(B15="","",IF(B15=$C$7,$F$7,$F$7*($D$7/Apoio!N38)))</f>
        <v>884329.4117647059</v>
      </c>
      <c r="D15" s="13">
        <f>IF(B15="","",C15*Apoio!T6)</f>
        <v>35369.639152941178</v>
      </c>
      <c r="E15" s="25">
        <f>IF(B15="","",$G$7-D15)</f>
        <v>178086.47139105882</v>
      </c>
      <c r="F15" s="14">
        <f>IF(B15="","",(($G$7-D15)/$G$7*100))</f>
        <v>83.430017972874865</v>
      </c>
      <c r="G15" s="14">
        <f>IF(B15="","",C15*Apoio!U6)</f>
        <v>107888.18823529412</v>
      </c>
      <c r="H15" s="14">
        <f>IF(B15="","",$I$7-G15)</f>
        <v>-107888.18823529412</v>
      </c>
      <c r="I15" s="39"/>
      <c r="K15" s="37"/>
      <c r="M15" s="67" t="s">
        <v>36</v>
      </c>
      <c r="N15" s="67"/>
      <c r="O15" s="67"/>
      <c r="P15" s="67"/>
      <c r="Q15" s="67"/>
      <c r="R15" s="67"/>
      <c r="S15" s="67"/>
      <c r="T15" s="67"/>
      <c r="U15" s="67"/>
      <c r="V15" s="67"/>
      <c r="W15" s="77"/>
      <c r="X15" s="36" t="s">
        <v>83</v>
      </c>
      <c r="Y15" s="24">
        <f>+SUM(Y12:Y14)</f>
        <v>277940.38996275084</v>
      </c>
      <c r="Z15" s="59">
        <f>+SUM(Z12:Z14)</f>
        <v>0.26417175793897163</v>
      </c>
      <c r="AA15" s="24">
        <f>+SUM(AA12:AA14)</f>
        <v>61676.606377420103</v>
      </c>
      <c r="AB15" s="24">
        <f>+SUM(AB12:AB14)</f>
        <v>28435.20876647986</v>
      </c>
      <c r="AD15" s="43"/>
      <c r="AE15" s="43"/>
      <c r="AF15" s="43"/>
      <c r="AH15" s="1" t="str">
        <f>+Inputs!A27</f>
        <v>Forno</v>
      </c>
      <c r="AI15" s="1">
        <f>+Inputs!B27</f>
        <v>500</v>
      </c>
      <c r="AJ15" s="1" t="str">
        <f>VLOOKUP(AH15,Inputs!A27:H30,3,FALSE)</f>
        <v>Gás Natural</v>
      </c>
      <c r="AK15" s="1">
        <f>+Inputs!D27</f>
        <v>82.5</v>
      </c>
      <c r="AL15" s="1">
        <f>VLOOKUP(AJ15,Apoio!L7:T20,9,FALSE)</f>
        <v>0.20304720000000001</v>
      </c>
      <c r="AM15" s="24">
        <f t="shared" ref="AM15:AM17" si="7">+VLOOKUP(AJ15,$AH$7:$AK$8,4,FALSE)*(AI15/SUMIF($AJ$14:$AJ$17,AJ15,$AI$14:$AI$17))</f>
        <v>17647.058823529413</v>
      </c>
      <c r="AN15" s="24">
        <f>VLOOKUP(AJ15,Apoio!$L$6:$T$19,9,FALSE)*AM15</f>
        <v>3583.1858823529415</v>
      </c>
      <c r="AO15" s="1">
        <f>1/INDEX(Apoio!$P$6:$R$19,MATCH(AJ15,Apoio!$L$6:$L$19,0),MATCH(VLOOKUP(AJ15,Inputs!$A$36:$C$39,3,FALSE),Apoio!$P$5:$R$5,0))*VLOOKUP(AJ15,Inputs!$A$36:$C$39,2,FALSE)</f>
        <v>7.8E-2</v>
      </c>
      <c r="AP15" s="1">
        <f>IF(Inputs!$B$34="Sim",AO15*AM15,VLOOKUP(AJ15,Apoio!$L$6:$U$19,10,FALSE)*AM15)</f>
        <v>1376.4705882352941</v>
      </c>
      <c r="AR15" s="49"/>
      <c r="AT15" s="1" t="str">
        <f>+Inputs!A29</f>
        <v>Queimador (Dedicado a estufas ou banhos térmicos)</v>
      </c>
      <c r="AU15" s="1">
        <f>+Inputs!B12</f>
        <v>60</v>
      </c>
      <c r="AV15" s="1">
        <f>+Inputs!D29</f>
        <v>80</v>
      </c>
      <c r="AW15" s="1" t="str">
        <f>VLOOKUP(AT15,Inputs!A29:H32,3,FALSE)</f>
        <v>Gás Natural</v>
      </c>
      <c r="AX15" s="24">
        <f t="shared" si="1"/>
        <v>0</v>
      </c>
      <c r="AY15" s="34">
        <v>122</v>
      </c>
      <c r="AZ15" s="33">
        <f>+Inputs!H29</f>
        <v>0</v>
      </c>
      <c r="BA15" s="1">
        <f t="shared" si="2"/>
        <v>0.89318858369663856</v>
      </c>
      <c r="BB15" s="1">
        <f t="shared" si="3"/>
        <v>0</v>
      </c>
      <c r="BC15" s="1">
        <f t="shared" si="4"/>
        <v>0</v>
      </c>
      <c r="BD15" s="1">
        <v>6000</v>
      </c>
      <c r="BE15" s="24">
        <f t="shared" si="5"/>
        <v>0</v>
      </c>
      <c r="BF15" s="27">
        <f t="shared" si="6"/>
        <v>0</v>
      </c>
      <c r="BG15" s="24">
        <f>VLOOKUP(AW15,Apoio!$L$6:$T$19,9,FALSE)*BE15</f>
        <v>0</v>
      </c>
      <c r="BH15" s="24">
        <f>+BE15*VLOOKUP(AW15,Apoio!$L$6:$U$19,10,FALSE)</f>
        <v>0</v>
      </c>
    </row>
    <row r="16" spans="2:60" ht="14.4" customHeight="1" x14ac:dyDescent="0.3">
      <c r="B16" s="1" t="str">
        <f>IF($E$6/$D$6&gt;Apoio!T7/Apoio!N39,Apoio!M39,"")</f>
        <v>Hidrogénio</v>
      </c>
      <c r="C16" s="12">
        <f>IF(B16="","",IF(B16=$C$7,$F$7,$F$7*($D$7/Apoio!N39)))</f>
        <v>884329.4117647059</v>
      </c>
      <c r="D16" s="13">
        <f>IF(B16="","",C16*Apoio!T7)</f>
        <v>0</v>
      </c>
      <c r="E16" s="25">
        <f t="shared" ref="E16:E27" si="8">IF(B16="","",$G$7-D16)</f>
        <v>213456.110544</v>
      </c>
      <c r="F16" s="14">
        <f t="shared" ref="F16:F27" si="9">IF(B16="","",(($G$7-D16)/$G$7*100))</f>
        <v>100</v>
      </c>
      <c r="G16" s="14">
        <f>IF(B16="","",C16*Apoio!U7)</f>
        <v>172444.23529411762</v>
      </c>
      <c r="H16" s="14">
        <f t="shared" ref="H16:H27" si="10">IF(B16="","",$I$7-G16)</f>
        <v>-172444.23529411762</v>
      </c>
      <c r="I16" s="39"/>
      <c r="K16" s="37"/>
      <c r="AD16" s="43"/>
      <c r="AE16" s="43"/>
      <c r="AF16" s="43"/>
      <c r="AH16" s="1" t="str">
        <f>+Inputs!A28</f>
        <v>Cogeração</v>
      </c>
      <c r="AI16" s="1">
        <f>+Inputs!B28</f>
        <v>0</v>
      </c>
      <c r="AJ16" s="1" t="str">
        <f>VLOOKUP(AH16,Inputs!A28:H31,3,FALSE)</f>
        <v>Gás Natural</v>
      </c>
      <c r="AK16" s="1">
        <f>+Inputs!D28</f>
        <v>80</v>
      </c>
      <c r="AL16" s="1">
        <f>VLOOKUP(AJ16,Apoio!L9:T21,9,FALSE)</f>
        <v>0.20304720000000001</v>
      </c>
      <c r="AM16" s="24">
        <f t="shared" si="7"/>
        <v>0</v>
      </c>
      <c r="AN16" s="24">
        <f>VLOOKUP(AJ16,Apoio!$L$6:$T$19,9,FALSE)*AM16</f>
        <v>0</v>
      </c>
      <c r="AO16" s="1">
        <f>1/INDEX(Apoio!$P$6:$R$19,MATCH(AJ16,Apoio!$L$6:$L$19,0),MATCH(VLOOKUP(AJ16,Inputs!$A$36:$C$39,3,FALSE),Apoio!$P$5:$R$5,0))*VLOOKUP(AJ16,Inputs!$A$36:$C$39,2,FALSE)</f>
        <v>7.8E-2</v>
      </c>
      <c r="AP16" s="1">
        <f>IF(Inputs!$B$34="Sim",AO16*AM16,VLOOKUP(AJ16,Apoio!$L$6:$U$19,10,FALSE)*AM16)</f>
        <v>0</v>
      </c>
      <c r="AR16" s="49"/>
      <c r="BD16" s="36" t="s">
        <v>83</v>
      </c>
      <c r="BE16" s="24">
        <f>+SUM(BE12:BE15)</f>
        <v>60721.457006060518</v>
      </c>
      <c r="BF16" s="59">
        <f>+SUM(BF12:BF15)</f>
        <v>5.7713432884139187E-2</v>
      </c>
      <c r="BG16" s="24">
        <f>+SUM(BG12:BG14)</f>
        <v>12329.321825000972</v>
      </c>
      <c r="BH16" s="24">
        <f>+SUM(BH12:BH15)</f>
        <v>4705.9129179696902</v>
      </c>
    </row>
    <row r="17" spans="2:58" ht="14.4" customHeight="1" x14ac:dyDescent="0.3">
      <c r="B17" s="1" t="str">
        <f>IF($E$6/$D$6&gt;Apoio!T8/Apoio!N40,Apoio!M40,"")</f>
        <v>Biomassa</v>
      </c>
      <c r="C17" s="12">
        <f>IF(B17="","",IF(B17=$C$7,$F$7,$F$7*($D$7/Apoio!N40)))</f>
        <v>884329.4117647059</v>
      </c>
      <c r="D17" s="13">
        <f>IF(B17="","",C17*Apoio!T8)</f>
        <v>0</v>
      </c>
      <c r="E17" s="25">
        <f t="shared" si="8"/>
        <v>213456.110544</v>
      </c>
      <c r="F17" s="14">
        <f t="shared" si="9"/>
        <v>100</v>
      </c>
      <c r="G17" s="14">
        <f>IF(B17="","",C17*Apoio!U8)</f>
        <v>9096.2123294117646</v>
      </c>
      <c r="H17" s="14">
        <f t="shared" si="10"/>
        <v>-9096.2123294117646</v>
      </c>
      <c r="I17" s="39"/>
      <c r="K17" s="37"/>
      <c r="AD17" s="43"/>
      <c r="AE17" s="43"/>
      <c r="AF17" s="43"/>
      <c r="AH17" s="1" t="str">
        <f>+Inputs!A29</f>
        <v>Queimador (Dedicado a estufas ou banhos térmicos)</v>
      </c>
      <c r="AI17" s="1">
        <f>+Inputs!B29</f>
        <v>0</v>
      </c>
      <c r="AJ17" s="1" t="str">
        <f>VLOOKUP(AH17,Inputs!A29:H32,3,FALSE)</f>
        <v>Gás Natural</v>
      </c>
      <c r="AK17" s="1">
        <f>+Inputs!D29</f>
        <v>80</v>
      </c>
      <c r="AL17" s="1">
        <f>VLOOKUP(AJ17,Apoio!L11:T22,9,FALSE)</f>
        <v>0.20304720000000001</v>
      </c>
      <c r="AM17" s="24">
        <f t="shared" si="7"/>
        <v>0</v>
      </c>
      <c r="AN17" s="24">
        <f>VLOOKUP(AJ17,Apoio!$L$6:$T$19,9,FALSE)*AM17</f>
        <v>0</v>
      </c>
      <c r="AO17" s="1">
        <f>1/INDEX(Apoio!$P$6:$R$19,MATCH(AJ17,Apoio!$L$6:$L$19,0),MATCH(VLOOKUP(AJ17,Inputs!$A$36:$C$39,3,FALSE),Apoio!$P$5:$R$5,0))*VLOOKUP(AJ17,Inputs!$A$36:$C$39,2,FALSE)</f>
        <v>7.8E-2</v>
      </c>
      <c r="AP17" s="1">
        <f>IF(Inputs!$B$34="Sim",AO17*AM17,VLOOKUP(AJ17,Apoio!$L$6:$U$19,10,FALSE)*AM17)</f>
        <v>0</v>
      </c>
      <c r="AR17" s="49"/>
    </row>
    <row r="18" spans="2:58" ht="14.4" customHeight="1" x14ac:dyDescent="0.3">
      <c r="B18" s="1" t="str">
        <f>IF($E$6/$D$6&gt;Apoio!T9/Apoio!N41,Apoio!M41,"")</f>
        <v>GN + Biometano 50 %</v>
      </c>
      <c r="C18" s="12">
        <f>IF(B18="","",IF(B18=$C$7,$F$7,$F$7*($D$7/Apoio!N41)))</f>
        <v>884329.4117647059</v>
      </c>
      <c r="D18" s="13">
        <f>IF(B18="","",C18*Apoio!T9)</f>
        <v>97035.697694117654</v>
      </c>
      <c r="E18" s="25">
        <f t="shared" si="8"/>
        <v>116420.41284988234</v>
      </c>
      <c r="F18" s="14">
        <f t="shared" si="9"/>
        <v>54.540679371127418</v>
      </c>
      <c r="G18" s="14">
        <f>IF(B18="","",C18*Apoio!U9)</f>
        <v>88211.858823529416</v>
      </c>
      <c r="H18" s="14">
        <f t="shared" si="10"/>
        <v>-88211.858823529416</v>
      </c>
      <c r="I18" s="39"/>
      <c r="K18" s="37"/>
      <c r="AD18" s="43"/>
      <c r="AE18" s="43"/>
      <c r="AF18" s="43"/>
      <c r="AH18" s="67" t="s">
        <v>36</v>
      </c>
      <c r="AI18" s="67"/>
      <c r="AJ18" s="67"/>
      <c r="AK18" s="67"/>
      <c r="AL18" s="67"/>
      <c r="AM18" s="67"/>
      <c r="AN18" s="67"/>
      <c r="AO18" s="68"/>
      <c r="AR18" s="49"/>
    </row>
    <row r="19" spans="2:58" ht="14.4" customHeight="1" x14ac:dyDescent="0.3">
      <c r="B19" s="1" t="str">
        <f>IF($E$6/$D$6&gt;Apoio!T10/Apoio!N42,Apoio!M42,"")</f>
        <v>Eletricidade</v>
      </c>
      <c r="C19" s="12">
        <f>IF(B19="","",IF(B19=$C$7,$F$7,$F$7*($D$7/Apoio!N42)))</f>
        <v>774927.83505154634</v>
      </c>
      <c r="D19" s="13">
        <f>IF(B19="","",C19*Apoio!T10)</f>
        <v>117014.10309278349</v>
      </c>
      <c r="E19" s="25">
        <f t="shared" si="8"/>
        <v>96442.007451216501</v>
      </c>
      <c r="F19" s="14">
        <f t="shared" si="9"/>
        <v>45.18118839766678</v>
      </c>
      <c r="G19" s="14">
        <f>IF(B19="","",C19*Apoio!U10)</f>
        <v>97299.938969072158</v>
      </c>
      <c r="H19" s="14">
        <f t="shared" si="10"/>
        <v>-97299.938969072158</v>
      </c>
      <c r="I19" s="39"/>
      <c r="K19" s="37"/>
      <c r="AD19" s="43"/>
      <c r="AE19" s="43"/>
      <c r="AF19" s="43"/>
      <c r="AH19" s="68" t="s">
        <v>63</v>
      </c>
      <c r="AI19" s="68"/>
      <c r="AJ19" s="68"/>
      <c r="AK19" s="68"/>
      <c r="AL19" s="68"/>
      <c r="AM19" s="68"/>
      <c r="AN19" s="68"/>
      <c r="AR19" s="49"/>
    </row>
    <row r="20" spans="2:58" ht="14.4" customHeight="1" x14ac:dyDescent="0.3">
      <c r="B20" s="1" t="str">
        <f>IF($E$6/$D$6&gt;Apoio!T11/Apoio!N43,Apoio!M43,"")</f>
        <v>GN + H2  20 %</v>
      </c>
      <c r="C20" s="12">
        <f>IF(B20="","",IF(B20=$C$7,$F$7,$F$7*($D$7/Apoio!N43)))</f>
        <v>884329.4117647059</v>
      </c>
      <c r="D20" s="13">
        <f>IF(B20="","",C20*Apoio!T11)</f>
        <v>166406.03407058824</v>
      </c>
      <c r="E20" s="25">
        <f t="shared" si="8"/>
        <v>47050.076473411755</v>
      </c>
      <c r="F20" s="14">
        <f t="shared" si="9"/>
        <v>22.042037753570547</v>
      </c>
      <c r="G20" s="14">
        <f>IF(B20="","",C20*Apoio!U11)</f>
        <v>89317.270588235304</v>
      </c>
      <c r="H20" s="14">
        <f t="shared" si="10"/>
        <v>-89317.270588235304</v>
      </c>
      <c r="I20" s="39"/>
      <c r="K20" s="37"/>
      <c r="AD20" s="43"/>
      <c r="AE20" s="43"/>
      <c r="AF20" s="43"/>
      <c r="AH20" s="72"/>
      <c r="AI20" s="72"/>
      <c r="AJ20" s="72"/>
      <c r="AK20" s="72"/>
      <c r="AL20" s="72"/>
      <c r="AM20" s="72"/>
      <c r="AN20" s="72"/>
      <c r="AR20" s="49"/>
    </row>
    <row r="21" spans="2:58" ht="14.4" customHeight="1" x14ac:dyDescent="0.3">
      <c r="B21" s="1" t="str">
        <f>IF($E$6/$D$6&gt;Apoio!T12/Apoio!N44,Apoio!M44,"")</f>
        <v>GN + H2  10 %</v>
      </c>
      <c r="C21" s="12">
        <f>IF(B21="","",IF(B21=$C$7,$F$7,$F$7*($D$7/Apoio!N44)))</f>
        <v>884329.4117647059</v>
      </c>
      <c r="D21" s="13">
        <f>IF(B21="","",C21*Apoio!T12)</f>
        <v>173559.55154823529</v>
      </c>
      <c r="E21" s="25">
        <f t="shared" si="8"/>
        <v>39896.558995764703</v>
      </c>
      <c r="F21" s="14">
        <f t="shared" si="9"/>
        <v>18.690755159965668</v>
      </c>
      <c r="G21" s="14">
        <f>IF(B21="","",C21*Apoio!U12)</f>
        <v>78926.400000000009</v>
      </c>
      <c r="H21" s="14">
        <f t="shared" si="10"/>
        <v>-78926.400000000009</v>
      </c>
      <c r="I21" s="39"/>
      <c r="K21" s="37"/>
      <c r="AD21" s="43"/>
      <c r="AE21" s="43"/>
      <c r="AF21" s="43"/>
      <c r="AH21" s="29" t="s">
        <v>75</v>
      </c>
      <c r="AI21" s="71" t="str">
        <f>AH16&amp;" "&amp;AJ16</f>
        <v>Cogeração Gás Natural</v>
      </c>
      <c r="AJ21" s="71"/>
      <c r="AK21" s="71"/>
      <c r="AL21" s="71"/>
      <c r="AM21" s="71"/>
      <c r="AN21" s="71"/>
      <c r="AO21" s="10" t="s">
        <v>76</v>
      </c>
      <c r="AR21" s="49"/>
    </row>
    <row r="22" spans="2:58" ht="14.4" customHeight="1" x14ac:dyDescent="0.35">
      <c r="B22" s="1" t="str">
        <f>IF($E$6/$D$6&gt;Apoio!T13/Apoio!N45,Apoio!M45,"")</f>
        <v>Gás Natural</v>
      </c>
      <c r="C22" s="12">
        <f>IF(B22="","",IF(B22=$C$7,$F$7,$F$7*($D$7/Apoio!N45)))</f>
        <v>884329.4117647059</v>
      </c>
      <c r="D22" s="13">
        <f>IF(B22="","",C22*Apoio!T13)</f>
        <v>179560.61093647059</v>
      </c>
      <c r="E22" s="25">
        <f>IF(B22="","",$G$7-D22)</f>
        <v>33895.499607529404</v>
      </c>
      <c r="F22" s="14">
        <f t="shared" si="9"/>
        <v>15.879376571205011</v>
      </c>
      <c r="G22" s="14">
        <f>IF(B22="","",C22*Apoio!U13)</f>
        <v>68535.529411764714</v>
      </c>
      <c r="H22" s="14">
        <f t="shared" si="10"/>
        <v>-68535.529411764714</v>
      </c>
      <c r="K22" s="37"/>
      <c r="AD22" s="43"/>
      <c r="AE22" s="43"/>
      <c r="AF22" s="43"/>
      <c r="AH22" s="29" t="s">
        <v>78</v>
      </c>
      <c r="AI22" s="40" t="s">
        <v>52</v>
      </c>
      <c r="AJ22" s="40" t="s">
        <v>53</v>
      </c>
      <c r="AK22" s="40" t="s">
        <v>79</v>
      </c>
      <c r="AL22" s="40" t="s">
        <v>80</v>
      </c>
      <c r="AM22" s="40" t="s">
        <v>81</v>
      </c>
      <c r="AN22" s="40" t="s">
        <v>82</v>
      </c>
      <c r="AR22" s="49"/>
      <c r="BF22" s="60"/>
    </row>
    <row r="23" spans="2:58" ht="14.4" customHeight="1" x14ac:dyDescent="0.3">
      <c r="B23" s="1" t="str">
        <f>IF($E$6/$D$6&gt;Apoio!T14/Apoio!N46,Apoio!M46,"")</f>
        <v/>
      </c>
      <c r="C23" s="12" t="str">
        <f>IF(B23="","",IF(B23=$C$7,$F$7,$F$7*($D$7/Apoio!N46)))</f>
        <v/>
      </c>
      <c r="D23" s="13" t="str">
        <f>IF(B23="","",C23*Apoio!T14)</f>
        <v/>
      </c>
      <c r="E23" s="25" t="str">
        <f t="shared" si="8"/>
        <v/>
      </c>
      <c r="F23" s="14" t="str">
        <f t="shared" si="9"/>
        <v/>
      </c>
      <c r="G23" s="14" t="str">
        <f>IF(B23="","",C23*Apoio!U14)</f>
        <v/>
      </c>
      <c r="H23" s="14" t="str">
        <f t="shared" si="10"/>
        <v/>
      </c>
      <c r="K23" s="37"/>
      <c r="AD23" s="43"/>
      <c r="AE23" s="43"/>
      <c r="AF23" s="43"/>
      <c r="AH23" s="1" t="str">
        <f>IF($AL$16/$AK$16&gt;Apoio!T6/Apoio!N38,Apoio!M38,"")</f>
        <v>Biometano</v>
      </c>
      <c r="AI23" s="12">
        <f>IF(AH23="","",IF(AH23=$AJ$16,$AM$16,$AM$16*($AK$16/Apoio!N38)))</f>
        <v>0</v>
      </c>
      <c r="AJ23" s="13">
        <f>IF(AH23="","",AI23*Apoio!T6)</f>
        <v>0</v>
      </c>
      <c r="AK23" s="25">
        <f>IF(AH23="","",$AN$16-AJ23)</f>
        <v>0</v>
      </c>
      <c r="AL23" s="14" t="e">
        <f>IF(AH23="","",(($AN$16-AJ23)/$AN$16*100))</f>
        <v>#DIV/0!</v>
      </c>
      <c r="AM23" s="14">
        <f>IF(AH23="","",AI23*Apoio!U6)</f>
        <v>0</v>
      </c>
      <c r="AN23" s="14">
        <f>IF(AH23="","",$AP$16-AM23)</f>
        <v>0</v>
      </c>
      <c r="AO23" s="39"/>
      <c r="AR23" s="49"/>
      <c r="BF23" s="60"/>
    </row>
    <row r="24" spans="2:58" ht="14.4" customHeight="1" x14ac:dyDescent="0.3">
      <c r="B24" s="1" t="str">
        <f>IF($E$6/$D$6&gt;Apoio!T15/Apoio!N47,Apoio!M47,"")</f>
        <v/>
      </c>
      <c r="C24" s="12" t="str">
        <f>IF(B24="","",IF(B24=$C$7,$F$7,$F$7*($D$7/Apoio!N47)))</f>
        <v/>
      </c>
      <c r="D24" s="13" t="str">
        <f>IF(B24="","",C24*Apoio!T15)</f>
        <v/>
      </c>
      <c r="E24" s="25" t="str">
        <f t="shared" si="8"/>
        <v/>
      </c>
      <c r="F24" s="14" t="str">
        <f t="shared" si="9"/>
        <v/>
      </c>
      <c r="G24" s="14" t="str">
        <f>IF(B24="","",C24*Apoio!U15)</f>
        <v/>
      </c>
      <c r="H24" s="14" t="str">
        <f t="shared" si="10"/>
        <v/>
      </c>
      <c r="K24" s="37"/>
      <c r="AD24" s="43"/>
      <c r="AE24" s="43"/>
      <c r="AF24" s="43"/>
      <c r="AH24" s="1" t="str">
        <f>IF($AL$16/$AK$16&gt;Apoio!T7/Apoio!N39,Apoio!M39,"")</f>
        <v>Hidrogénio</v>
      </c>
      <c r="AI24" s="12">
        <f>IF(AH24="","",IF(AH24=$AJ$16,$AM$16,$AM$16*($AK$16/Apoio!N39)))</f>
        <v>0</v>
      </c>
      <c r="AJ24" s="13">
        <f>IF(AH24="","",AI24*Apoio!T7)</f>
        <v>0</v>
      </c>
      <c r="AK24" s="25">
        <f t="shared" ref="AK24:AK35" si="11">IF(AH24="","",$AN$16-AJ24)</f>
        <v>0</v>
      </c>
      <c r="AL24" s="14" t="e">
        <f t="shared" ref="AL24:AL35" si="12">IF(AH24="","",(($AN$16-AJ24)/$AN$16*100))</f>
        <v>#DIV/0!</v>
      </c>
      <c r="AM24" s="14">
        <f>IF(AH24="","",AI24*Apoio!U7)</f>
        <v>0</v>
      </c>
      <c r="AN24" s="14">
        <f t="shared" ref="AN24:AN35" si="13">IF(AH24="","",$AP$16-AM24)</f>
        <v>0</v>
      </c>
      <c r="AO24" s="39"/>
      <c r="AR24" s="49"/>
      <c r="BF24" s="60"/>
    </row>
    <row r="25" spans="2:58" ht="14.4" customHeight="1" x14ac:dyDescent="0.3">
      <c r="B25" s="1" t="str">
        <f>IF($E$6/$D$6&gt;Apoio!T16/Apoio!N48,Apoio!M48,"")</f>
        <v/>
      </c>
      <c r="C25" s="12" t="str">
        <f>IF(B25="","",IF(B25=$C$7,$F$7,$F$7*($D$7/Apoio!N48)))</f>
        <v/>
      </c>
      <c r="D25" s="13" t="str">
        <f>IF(B25="","",C25*Apoio!T16)</f>
        <v/>
      </c>
      <c r="E25" s="25" t="str">
        <f t="shared" si="8"/>
        <v/>
      </c>
      <c r="F25" s="14" t="str">
        <f t="shared" si="9"/>
        <v/>
      </c>
      <c r="G25" s="14" t="str">
        <f>IF(B25="","",C25*Apoio!U16)</f>
        <v/>
      </c>
      <c r="H25" s="14" t="str">
        <f t="shared" si="10"/>
        <v/>
      </c>
      <c r="K25" s="37"/>
      <c r="AD25" s="43"/>
      <c r="AE25" s="43"/>
      <c r="AF25" s="43"/>
      <c r="AH25" s="1" t="str">
        <f>IF($AL$16/$AK$16&gt;Apoio!T8/Apoio!N40,Apoio!M40,"")</f>
        <v>Biomassa</v>
      </c>
      <c r="AI25" s="12">
        <f>IF(AH25="","",IF(AH25=$AJ$16,$AM$16,$AM$16*($AK$16/Apoio!N40)))</f>
        <v>0</v>
      </c>
      <c r="AJ25" s="13">
        <f>IF(AH25="","",AI25*Apoio!T9)</f>
        <v>0</v>
      </c>
      <c r="AK25" s="25">
        <f t="shared" si="11"/>
        <v>0</v>
      </c>
      <c r="AL25" s="14" t="e">
        <f t="shared" si="12"/>
        <v>#DIV/0!</v>
      </c>
      <c r="AM25" s="14">
        <f>IF(AH25="","",AI25*Apoio!U8)</f>
        <v>0</v>
      </c>
      <c r="AN25" s="14">
        <f t="shared" si="13"/>
        <v>0</v>
      </c>
      <c r="AO25" s="39"/>
      <c r="AR25" s="49"/>
      <c r="BF25" s="60"/>
    </row>
    <row r="26" spans="2:58" ht="14.4" customHeight="1" x14ac:dyDescent="0.3">
      <c r="B26" s="1" t="str">
        <f>IF($E$6/$D$6&gt;Apoio!T17/Apoio!N49,Apoio!M49,"")</f>
        <v/>
      </c>
      <c r="C26" s="12" t="str">
        <f>IF(B26="","",IF(B26=$C$7,$F$7,$F$7*($D$7/Apoio!N49)))</f>
        <v/>
      </c>
      <c r="D26" s="13" t="str">
        <f>IF(B26="","",C26*Apoio!T17)</f>
        <v/>
      </c>
      <c r="E26" s="25" t="str">
        <f t="shared" si="8"/>
        <v/>
      </c>
      <c r="F26" s="14" t="str">
        <f t="shared" si="9"/>
        <v/>
      </c>
      <c r="G26" s="14" t="str">
        <f>IF(B26="","",C26*Apoio!U17)</f>
        <v/>
      </c>
      <c r="H26" s="14" t="str">
        <f t="shared" si="10"/>
        <v/>
      </c>
      <c r="K26" s="37"/>
      <c r="AD26" s="43"/>
      <c r="AE26" s="43"/>
      <c r="AF26" s="43"/>
      <c r="AH26" s="1" t="str">
        <f>IF($AL$16/$AK$16&gt;Apoio!T9/Apoio!N41,Apoio!M41,"")</f>
        <v>GN + Biometano 50 %</v>
      </c>
      <c r="AI26" s="12">
        <f>IF(AH26="","",IF(AH26=$AJ$16,$AM$16,$AM$16*($AK$16/Apoio!N41)))</f>
        <v>0</v>
      </c>
      <c r="AJ26" s="13">
        <f>IF(AH26="","",AI26*Apoio!T8)</f>
        <v>0</v>
      </c>
      <c r="AK26" s="25">
        <f t="shared" si="11"/>
        <v>0</v>
      </c>
      <c r="AL26" s="14" t="e">
        <f t="shared" si="12"/>
        <v>#DIV/0!</v>
      </c>
      <c r="AM26" s="14">
        <f>IF(AH26="","",AI26*Apoio!U9)</f>
        <v>0</v>
      </c>
      <c r="AN26" s="14">
        <f t="shared" si="13"/>
        <v>0</v>
      </c>
      <c r="AO26" s="39"/>
      <c r="AR26" s="49"/>
      <c r="BF26" s="61"/>
    </row>
    <row r="27" spans="2:58" x14ac:dyDescent="0.3">
      <c r="B27" s="1" t="str">
        <f>IF($E$6/$D$6&gt;Apoio!T18/Apoio!N50,Apoio!M50,"")</f>
        <v/>
      </c>
      <c r="C27" s="12" t="str">
        <f>IF(B27="","",IF(B27=$C$7,$F$7,$F$7*($D$7/Apoio!N50)))</f>
        <v/>
      </c>
      <c r="D27" s="13" t="str">
        <f>IF(B27="","",C27*Apoio!T18)</f>
        <v/>
      </c>
      <c r="E27" s="25" t="str">
        <f t="shared" si="8"/>
        <v/>
      </c>
      <c r="F27" s="14" t="str">
        <f t="shared" si="9"/>
        <v/>
      </c>
      <c r="G27" s="14" t="str">
        <f>IF(B27="","",C27*Apoio!U18)</f>
        <v/>
      </c>
      <c r="H27" s="14" t="str">
        <f t="shared" si="10"/>
        <v/>
      </c>
      <c r="K27" s="37"/>
      <c r="AD27" s="43"/>
      <c r="AE27" s="43"/>
      <c r="AF27" s="43"/>
      <c r="AH27" s="1" t="str">
        <f>IF($AL$16/$AK$16&gt;Apoio!T10/Apoio!N42,Apoio!M42,"")</f>
        <v>Eletricidade</v>
      </c>
      <c r="AI27" s="12">
        <f>IF(AH27="","",IF(AH27=$AJ$16,$AM$16,$AM$16*($AK$16/Apoio!N42)))</f>
        <v>0</v>
      </c>
      <c r="AJ27" s="13">
        <f>IF(AH27="","",AI27*Apoio!T11)</f>
        <v>0</v>
      </c>
      <c r="AK27" s="25">
        <f t="shared" si="11"/>
        <v>0</v>
      </c>
      <c r="AL27" s="14" t="e">
        <f t="shared" si="12"/>
        <v>#DIV/0!</v>
      </c>
      <c r="AM27" s="14">
        <f>IF(AH27="","",AI27*Apoio!U10)</f>
        <v>0</v>
      </c>
      <c r="AN27" s="14">
        <f t="shared" si="13"/>
        <v>0</v>
      </c>
      <c r="AO27" s="39"/>
      <c r="AR27" s="49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spans="2:58" x14ac:dyDescent="0.3">
      <c r="K28" s="37"/>
      <c r="AD28" s="43"/>
      <c r="AE28" s="43"/>
      <c r="AF28" s="43"/>
      <c r="AH28" s="1" t="str">
        <f>IF($AL$16/$AK$16&gt;Apoio!T11/Apoio!N43,Apoio!M43,"")</f>
        <v>GN + H2  20 %</v>
      </c>
      <c r="AI28" s="12">
        <f>IF(AH28="","",IF(AH28=$AJ$16,$AM$16,$AM$16*($AK$16/Apoio!N43)))</f>
        <v>0</v>
      </c>
      <c r="AJ28" s="13">
        <f>IF(AH28="","",AI28*Apoio!T12)</f>
        <v>0</v>
      </c>
      <c r="AK28" s="25">
        <f t="shared" si="11"/>
        <v>0</v>
      </c>
      <c r="AL28" s="14" t="e">
        <f t="shared" si="12"/>
        <v>#DIV/0!</v>
      </c>
      <c r="AM28" s="14">
        <f>IF(AH28="","",AI28*Apoio!U11)</f>
        <v>0</v>
      </c>
      <c r="AN28" s="14">
        <f t="shared" si="13"/>
        <v>0</v>
      </c>
      <c r="AO28" s="39"/>
      <c r="AR28" s="49"/>
    </row>
    <row r="29" spans="2:58" x14ac:dyDescent="0.3">
      <c r="K29" s="37"/>
      <c r="AD29" s="43"/>
      <c r="AE29" s="43"/>
      <c r="AF29" s="43"/>
      <c r="AH29" s="1" t="str">
        <f>IF($AL$16/$AK$16&gt;Apoio!T12/Apoio!N44,Apoio!M44,"")</f>
        <v>GN + H2  10 %</v>
      </c>
      <c r="AI29" s="12">
        <f>IF(AH29="","",IF(AH29=$AJ$16,$AM$16,$AM$16*($AK$16/Apoio!N44)))</f>
        <v>0</v>
      </c>
      <c r="AJ29" s="13">
        <f>IF(AH29="","",AI29*Apoio!T10)</f>
        <v>0</v>
      </c>
      <c r="AK29" s="25">
        <f t="shared" si="11"/>
        <v>0</v>
      </c>
      <c r="AL29" s="14" t="e">
        <f t="shared" si="12"/>
        <v>#DIV/0!</v>
      </c>
      <c r="AM29" s="14">
        <f>IF(AH29="","",AI29*Apoio!U12)</f>
        <v>0</v>
      </c>
      <c r="AN29" s="14">
        <f t="shared" si="13"/>
        <v>0</v>
      </c>
      <c r="AO29" s="39"/>
      <c r="AR29" s="49"/>
    </row>
    <row r="30" spans="2:58" x14ac:dyDescent="0.3">
      <c r="B30" s="29" t="s">
        <v>84</v>
      </c>
      <c r="C30" s="71" t="str">
        <f>B8&amp;" "&amp;C8</f>
        <v>Cogeração Gás Natural</v>
      </c>
      <c r="D30" s="71"/>
      <c r="E30" s="71"/>
      <c r="F30" s="71"/>
      <c r="G30" s="71"/>
      <c r="H30" s="71"/>
      <c r="I30" s="39"/>
      <c r="K30" s="37"/>
      <c r="AD30" s="43"/>
      <c r="AE30" s="43"/>
      <c r="AF30" s="43"/>
      <c r="AH30" s="1" t="str">
        <f>IF($AL$16/$AK$16&gt;Apoio!T13/Apoio!N45,Apoio!M45,"")</f>
        <v>Gás Natural</v>
      </c>
      <c r="AI30" s="12">
        <f>IF(AH30="","",IF(AH30=$AJ$16,$AM$16,$AM$16*($AK$16/Apoio!N45)))</f>
        <v>0</v>
      </c>
      <c r="AJ30" s="13">
        <f>IF(AH30="","",AI30*Apoio!T13)</f>
        <v>0</v>
      </c>
      <c r="AK30" s="25">
        <f t="shared" si="11"/>
        <v>0</v>
      </c>
      <c r="AL30" s="14" t="e">
        <f t="shared" si="12"/>
        <v>#DIV/0!</v>
      </c>
      <c r="AM30" s="14">
        <f>IF(AH30="","",AI30*Apoio!U13)</f>
        <v>0</v>
      </c>
      <c r="AN30" s="14">
        <f t="shared" si="13"/>
        <v>0</v>
      </c>
      <c r="AR30" s="49"/>
    </row>
    <row r="31" spans="2:58" ht="15.6" x14ac:dyDescent="0.35">
      <c r="B31" s="29" t="s">
        <v>78</v>
      </c>
      <c r="C31" s="40" t="s">
        <v>52</v>
      </c>
      <c r="D31" s="40" t="s">
        <v>53</v>
      </c>
      <c r="E31" s="40" t="s">
        <v>79</v>
      </c>
      <c r="F31" s="40" t="s">
        <v>80</v>
      </c>
      <c r="G31" s="40" t="s">
        <v>81</v>
      </c>
      <c r="H31" s="40" t="s">
        <v>82</v>
      </c>
      <c r="I31" s="39"/>
      <c r="K31" s="37"/>
      <c r="AD31" s="43"/>
      <c r="AE31" s="43"/>
      <c r="AF31" s="43"/>
      <c r="AH31" s="1" t="str">
        <f>IF($AL$16/$AK$16&gt;Apoio!T14/Apoio!N46,Apoio!M46,"")</f>
        <v/>
      </c>
      <c r="AI31" s="12" t="str">
        <f>IF(AH31="","",IF(AH31=$AJ$16,$AM$16,$AM$16*($AK$16/Apoio!N46)))</f>
        <v/>
      </c>
      <c r="AJ31" s="13" t="str">
        <f>IF(AH31="","",AI31*Apoio!T14)</f>
        <v/>
      </c>
      <c r="AK31" s="25" t="str">
        <f t="shared" si="11"/>
        <v/>
      </c>
      <c r="AL31" s="14" t="str">
        <f t="shared" si="12"/>
        <v/>
      </c>
      <c r="AM31" s="14" t="str">
        <f>IF(AH31="","",AI31*Apoio!U14)</f>
        <v/>
      </c>
      <c r="AN31" s="14" t="str">
        <f t="shared" si="13"/>
        <v/>
      </c>
      <c r="AR31" s="49"/>
      <c r="AS31" s="68"/>
      <c r="AT31" s="68"/>
      <c r="AU31" s="68"/>
      <c r="AV31" s="68"/>
      <c r="AW31" s="68"/>
      <c r="AX31" s="68"/>
      <c r="AY31" s="68"/>
      <c r="AZ31" s="68"/>
      <c r="BA31" s="68"/>
      <c r="BB31" s="68"/>
    </row>
    <row r="32" spans="2:58" x14ac:dyDescent="0.3">
      <c r="B32" s="1" t="str">
        <f>IF($E$8/$D$8&gt;Apoio!T6/Apoio!N54,Apoio!M54,"")</f>
        <v>Biometano</v>
      </c>
      <c r="C32" s="12">
        <f>IF(B32="","",IF(B32=$C$8,$F$8,$F$8*($D$8/Apoio!N54)))</f>
        <v>54857.142857142855</v>
      </c>
      <c r="D32" s="13">
        <f>IF(B32="","",C32*Apoio!T6)</f>
        <v>2194.0662857142856</v>
      </c>
      <c r="E32" s="25">
        <f>IF(B32="","",$G$8-D32)</f>
        <v>9988.7657142857151</v>
      </c>
      <c r="F32" s="14">
        <f>IF(B32="","",(($G$8-D32)/$G$8*100))</f>
        <v>81.990506922246936</v>
      </c>
      <c r="G32" s="14">
        <f>IF(B32="","",C32*Apoio!U6)</f>
        <v>6692.5714285714284</v>
      </c>
      <c r="H32" s="14">
        <f>IF(B32="","",$I$8-G32)</f>
        <v>-2012.5714285714284</v>
      </c>
      <c r="I32" s="39"/>
      <c r="K32" s="37"/>
      <c r="AD32" s="43"/>
      <c r="AE32" s="43"/>
      <c r="AF32" s="43"/>
      <c r="AH32" s="1" t="str">
        <f>IF($AL$16/$AK$16&gt;Apoio!T15/Apoio!N47,Apoio!M47,"")</f>
        <v/>
      </c>
      <c r="AI32" s="12" t="str">
        <f>IF(AH32="","",IF(AH32=$AJ$16,$AM$16,$AM$16*($AK$16/Apoio!N47)))</f>
        <v/>
      </c>
      <c r="AJ32" s="13" t="str">
        <f>IF(AH32="","",AI32*Apoio!T15)</f>
        <v/>
      </c>
      <c r="AK32" s="25" t="str">
        <f t="shared" si="11"/>
        <v/>
      </c>
      <c r="AL32" s="14" t="str">
        <f t="shared" si="12"/>
        <v/>
      </c>
      <c r="AM32" s="14" t="str">
        <f>IF(AH32="","",AI32*Apoio!U15)</f>
        <v/>
      </c>
      <c r="AN32" s="14" t="str">
        <f t="shared" si="13"/>
        <v/>
      </c>
      <c r="AR32" s="49"/>
    </row>
    <row r="33" spans="2:44" x14ac:dyDescent="0.3">
      <c r="B33" s="1" t="str">
        <f>IF($E$8/$D$8&gt;Apoio!T7/Apoio!N55,Apoio!M55,"")</f>
        <v>Hidrogénio</v>
      </c>
      <c r="C33" s="12">
        <f>IF(B33="","",IF(B33=$C$8,$F$8,$F$8*($D$8/Apoio!N55)))</f>
        <v>54857.142857142855</v>
      </c>
      <c r="D33" s="13">
        <f>IF(B33="","",C33*Apoio!T7)</f>
        <v>0</v>
      </c>
      <c r="E33" s="25">
        <f t="shared" ref="E33:E35" si="14">IF(B33="","",$G$8-D33)</f>
        <v>12182.832</v>
      </c>
      <c r="F33" s="14">
        <f t="shared" ref="F33:F35" si="15">IF(B33="","",(($G$8-D33)/$G$8*100))</f>
        <v>100</v>
      </c>
      <c r="G33" s="14">
        <f>IF(B33="","",C33*Apoio!U7)</f>
        <v>10697.142857142855</v>
      </c>
      <c r="H33" s="14">
        <f t="shared" ref="H33:H35" si="16">IF(B33="","",$I$8-G33)</f>
        <v>-6017.1428571428551</v>
      </c>
      <c r="I33" s="39"/>
      <c r="K33" s="37"/>
      <c r="AD33" s="43"/>
      <c r="AE33" s="43"/>
      <c r="AF33" s="43"/>
      <c r="AH33" s="1" t="str">
        <f>IF($AL$16/$AK$16&gt;Apoio!T16/Apoio!N48,Apoio!M48,"")</f>
        <v/>
      </c>
      <c r="AI33" s="12" t="str">
        <f>IF(AH33="","",IF(AH33=$AJ$16,$AM$16,$AM$16*($AK$16/Apoio!N48)))</f>
        <v/>
      </c>
      <c r="AJ33" s="13" t="str">
        <f>IF(AH33="","",AI33*Apoio!T16)</f>
        <v/>
      </c>
      <c r="AK33" s="25" t="str">
        <f t="shared" si="11"/>
        <v/>
      </c>
      <c r="AL33" s="14" t="str">
        <f t="shared" si="12"/>
        <v/>
      </c>
      <c r="AM33" s="14" t="str">
        <f>IF(AH33="","",AI33*Apoio!U16)</f>
        <v/>
      </c>
      <c r="AN33" s="14" t="str">
        <f t="shared" si="13"/>
        <v/>
      </c>
      <c r="AR33" s="49"/>
    </row>
    <row r="34" spans="2:44" x14ac:dyDescent="0.3">
      <c r="B34" s="1" t="str">
        <f>IF($E$8/$D$8&gt;Apoio!T8/Apoio!N56,Apoio!M56,"")</f>
        <v>Biomassa</v>
      </c>
      <c r="C34" s="12">
        <f>IF(B34="","",IF(B34=$C$8,$F$8,$F$8*($D$8/Apoio!N56)))</f>
        <v>54857.142857142855</v>
      </c>
      <c r="D34" s="13">
        <f>IF(B34="","",C34*Apoio!T8)</f>
        <v>0</v>
      </c>
      <c r="E34" s="25">
        <f t="shared" si="14"/>
        <v>12182.832</v>
      </c>
      <c r="F34" s="14">
        <f t="shared" si="15"/>
        <v>100</v>
      </c>
      <c r="G34" s="14">
        <f>IF(B34="","",C34*Apoio!U8)</f>
        <v>564.26057142857144</v>
      </c>
      <c r="H34" s="14">
        <f t="shared" si="16"/>
        <v>4115.739428571429</v>
      </c>
      <c r="K34" s="37"/>
      <c r="AD34" s="43"/>
      <c r="AE34" s="43"/>
      <c r="AF34" s="43"/>
      <c r="AH34" s="1" t="str">
        <f>IF($AL$16/$AK$16&gt;Apoio!T17/Apoio!N49,Apoio!M49,"")</f>
        <v/>
      </c>
      <c r="AI34" s="12" t="str">
        <f>IF(AH34="","",IF(AH34=$AJ$16,$AM$16,$AM$16*($AK$16/Apoio!N49)))</f>
        <v/>
      </c>
      <c r="AJ34" s="13" t="str">
        <f>IF(AH34="","",AI34*Apoio!T17)</f>
        <v/>
      </c>
      <c r="AK34" s="25" t="str">
        <f t="shared" si="11"/>
        <v/>
      </c>
      <c r="AL34" s="14" t="str">
        <f t="shared" si="12"/>
        <v/>
      </c>
      <c r="AM34" s="14" t="str">
        <f>IF(AH34="","",AI34*Apoio!U17)</f>
        <v/>
      </c>
      <c r="AN34" s="14" t="str">
        <f t="shared" si="13"/>
        <v/>
      </c>
      <c r="AR34" s="49"/>
    </row>
    <row r="35" spans="2:44" x14ac:dyDescent="0.3">
      <c r="B35" s="1" t="str">
        <f>IF($E$8/$D$8&gt;Apoio!T9/Apoio!N57,Apoio!M57,"")</f>
        <v>GN + Biometano 50 %</v>
      </c>
      <c r="C35" s="12">
        <f>IF(B35="","",IF(B35=$C$8,$F$8,$F$8*($D$8/Apoio!N57)))</f>
        <v>54857.142857142855</v>
      </c>
      <c r="D35" s="13">
        <f>IF(B35="","",C35*Apoio!T9)</f>
        <v>6019.3645714285713</v>
      </c>
      <c r="E35" s="25">
        <f t="shared" si="14"/>
        <v>6163.4674285714291</v>
      </c>
      <c r="F35" s="14">
        <f t="shared" si="15"/>
        <v>50.59141773088087</v>
      </c>
      <c r="G35" s="14">
        <f>IF(B35="","",C35*Apoio!U9)</f>
        <v>5472</v>
      </c>
      <c r="H35" s="14">
        <f t="shared" si="16"/>
        <v>-792</v>
      </c>
      <c r="K35" s="37"/>
      <c r="AD35" s="43"/>
      <c r="AE35" s="43"/>
      <c r="AF35" s="43"/>
      <c r="AH35" s="1" t="str">
        <f>IF($AL$16/$AK$16&gt;Apoio!T18/Apoio!N50,Apoio!M50,"")</f>
        <v/>
      </c>
      <c r="AI35" s="12" t="str">
        <f>IF(AH35="","",IF(AH35=$AJ$16,$AM$16,$AM$16*($AK$16/Apoio!N50)))</f>
        <v/>
      </c>
      <c r="AJ35" s="13" t="str">
        <f>IF(AH35="","",AI35*Apoio!T18)</f>
        <v/>
      </c>
      <c r="AK35" s="25" t="str">
        <f t="shared" si="11"/>
        <v/>
      </c>
      <c r="AL35" s="14" t="str">
        <f t="shared" si="12"/>
        <v/>
      </c>
      <c r="AM35" s="14" t="str">
        <f>IF(AH35="","",AI35*Apoio!U18)</f>
        <v/>
      </c>
      <c r="AN35" s="14" t="str">
        <f t="shared" si="13"/>
        <v/>
      </c>
      <c r="AR35" s="49"/>
    </row>
    <row r="36" spans="2:44" x14ac:dyDescent="0.3">
      <c r="B36" s="1" t="str">
        <f>IF($E$8/$D$8&gt;Apoio!T11/Apoio!N58,Apoio!M58,"")</f>
        <v>GN + H2  20 %</v>
      </c>
      <c r="C36" s="12">
        <f>IF(B36="","",IF(B36=$C$8,$F$8,$F$8*($D$8/Apoio!N58)))</f>
        <v>54857.142857142855</v>
      </c>
      <c r="D36" s="13">
        <f>IF(B36="","",C36*Apoio!T11)</f>
        <v>10322.578285714286</v>
      </c>
      <c r="E36" s="25">
        <f t="shared" ref="E36:E43" si="17">IF(B36="","",$G$8-D36)</f>
        <v>1860.2537142857145</v>
      </c>
      <c r="F36" s="14">
        <f t="shared" ref="F36:F43" si="18">IF(B36="","",(($G$8-D36)/$G$8*100))</f>
        <v>15.269468661192359</v>
      </c>
      <c r="G36" s="14">
        <f>IF(B36="","",C36*Apoio!U11)</f>
        <v>5540.5714285714284</v>
      </c>
      <c r="H36" s="14">
        <f t="shared" ref="H36:H43" si="19">IF(B36="","",$I$8-G36)</f>
        <v>-860.57142857142844</v>
      </c>
      <c r="K36" s="37"/>
      <c r="AD36" s="43"/>
      <c r="AE36" s="43"/>
      <c r="AF36" s="43"/>
      <c r="AR36" s="49"/>
    </row>
    <row r="37" spans="2:44" x14ac:dyDescent="0.3">
      <c r="B37" s="1" t="str">
        <f>IF($E$8/$D$8&gt;Apoio!T12/Apoio!N59,Apoio!M59,"")</f>
        <v>GN + H2  10 %</v>
      </c>
      <c r="C37" s="12">
        <f>IF(B37="","",IF(B37=$C$8,$F$8,$F$8*($D$8/Apoio!N59)))</f>
        <v>54857.142857142855</v>
      </c>
      <c r="D37" s="13">
        <f>IF(B37="","",C37*Apoio!T12)</f>
        <v>10766.328685714285</v>
      </c>
      <c r="E37" s="25">
        <f t="shared" si="17"/>
        <v>1416.5033142857155</v>
      </c>
      <c r="F37" s="14">
        <f t="shared" si="18"/>
        <v>11.627044633675613</v>
      </c>
      <c r="G37" s="14">
        <f>IF(B37="","",C37*Apoio!U12)</f>
        <v>4896</v>
      </c>
      <c r="H37" s="14">
        <f t="shared" si="19"/>
        <v>-216</v>
      </c>
      <c r="K37" s="37"/>
      <c r="AD37" s="43"/>
      <c r="AE37" s="43"/>
      <c r="AF37" s="43"/>
      <c r="AH37" s="29" t="s">
        <v>84</v>
      </c>
      <c r="AI37" s="71" t="str">
        <f>AH15&amp;" "&amp;AJ15</f>
        <v>Forno Gás Natural</v>
      </c>
      <c r="AJ37" s="71"/>
      <c r="AK37" s="71"/>
      <c r="AL37" s="71"/>
      <c r="AM37" s="71"/>
      <c r="AN37" s="71"/>
      <c r="AR37" s="49"/>
    </row>
    <row r="38" spans="2:44" ht="15.6" x14ac:dyDescent="0.35">
      <c r="B38" s="1" t="str">
        <f>IF($E$8/$D$8&gt;Apoio!T13/Apoio!N60,Apoio!M60,"")</f>
        <v>Gás Natural</v>
      </c>
      <c r="C38" s="12">
        <f>IF(B38="","",IF(B38=$C$8,$F$8,$F$8*($D$8/Apoio!N60)))</f>
        <v>60000</v>
      </c>
      <c r="D38" s="13">
        <f>IF(B38="","",C38*Apoio!T13)</f>
        <v>12182.832</v>
      </c>
      <c r="E38" s="25">
        <f t="shared" si="17"/>
        <v>0</v>
      </c>
      <c r="F38" s="14">
        <f t="shared" si="18"/>
        <v>0</v>
      </c>
      <c r="G38" s="14">
        <f>IF(B38="","",C38*Apoio!U13)</f>
        <v>4650</v>
      </c>
      <c r="H38" s="14">
        <f t="shared" si="19"/>
        <v>30</v>
      </c>
      <c r="K38" s="37"/>
      <c r="AD38" s="43"/>
      <c r="AE38" s="43"/>
      <c r="AF38" s="43"/>
      <c r="AH38" s="29" t="s">
        <v>78</v>
      </c>
      <c r="AI38" s="40" t="s">
        <v>52</v>
      </c>
      <c r="AJ38" s="40" t="s">
        <v>53</v>
      </c>
      <c r="AK38" s="40" t="s">
        <v>79</v>
      </c>
      <c r="AL38" s="40" t="s">
        <v>80</v>
      </c>
      <c r="AM38" s="40" t="s">
        <v>81</v>
      </c>
      <c r="AN38" s="40" t="s">
        <v>82</v>
      </c>
      <c r="AO38" s="39"/>
      <c r="AR38" s="49"/>
    </row>
    <row r="39" spans="2:44" x14ac:dyDescent="0.3">
      <c r="B39" s="1" t="str">
        <f>IF($E$8/$D$8&gt;Apoio!T14/Apoio!N61,Apoio!M61,"")</f>
        <v/>
      </c>
      <c r="C39" s="12" t="str">
        <f>IF(B39="","",IF(B39=$C$8,$F$8,$F$8*($D$8/Apoio!N61)))</f>
        <v/>
      </c>
      <c r="D39" s="13" t="str">
        <f>IF(B39="","",C39*Apoio!T14)</f>
        <v/>
      </c>
      <c r="E39" s="25" t="str">
        <f t="shared" si="17"/>
        <v/>
      </c>
      <c r="F39" s="14" t="str">
        <f t="shared" si="18"/>
        <v/>
      </c>
      <c r="G39" s="14" t="str">
        <f>IF(B39="","",C39*Apoio!U14)</f>
        <v/>
      </c>
      <c r="H39" s="14" t="str">
        <f t="shared" si="19"/>
        <v/>
      </c>
      <c r="K39" s="37"/>
      <c r="AD39" s="43"/>
      <c r="AE39" s="43"/>
      <c r="AF39" s="43"/>
      <c r="AH39" s="1" t="str">
        <f>IF($AL$15/$AK$15&gt;Apoio!T6/Apoio!N54,Apoio!M54,"")</f>
        <v>Biometano</v>
      </c>
      <c r="AI39" s="12">
        <f>IF(AH39="","",IF(AH39=$AJ$15,$AM$15,$AM$15*($AK$15/Apoio!N54)))</f>
        <v>16638.655462184874</v>
      </c>
      <c r="AJ39" s="13">
        <f>IF(AH39="","",AI39*Apoio!T6)</f>
        <v>665.47966386554617</v>
      </c>
      <c r="AK39" s="25">
        <f t="shared" ref="AK39:AK50" si="20">IF(AH39="","",$AN$15-AJ39)</f>
        <v>2917.7062184873953</v>
      </c>
      <c r="AL39" s="14">
        <f t="shared" ref="AL39:AL50" si="21">IF(AH39="","",(($AN$15-AJ39)/$AN$15*100))</f>
        <v>81.42771026356715</v>
      </c>
      <c r="AM39" s="14">
        <f>IF(AH39="","",AI39*Apoio!U6)</f>
        <v>2029.9159663865546</v>
      </c>
      <c r="AN39" s="14">
        <f t="shared" ref="AN39:AN50" si="22">IF(AH39="","",$AP$15-AM39)</f>
        <v>-653.44537815126046</v>
      </c>
      <c r="AO39" s="39"/>
      <c r="AR39" s="49"/>
    </row>
    <row r="40" spans="2:44" x14ac:dyDescent="0.3">
      <c r="B40" s="1" t="str">
        <f>IF($E$8/$D$8&gt;Apoio!T15/Apoio!N62,Apoio!M62,"")</f>
        <v/>
      </c>
      <c r="C40" s="12" t="str">
        <f>IF(B40="","",IF(B40=$C$8,$F$8,$F$8*($D$8/Apoio!N62)))</f>
        <v/>
      </c>
      <c r="D40" s="13" t="str">
        <f>IF(B40="","",C40*Apoio!T15)</f>
        <v/>
      </c>
      <c r="E40" s="25" t="str">
        <f t="shared" si="17"/>
        <v/>
      </c>
      <c r="F40" s="14" t="str">
        <f t="shared" si="18"/>
        <v/>
      </c>
      <c r="G40" s="14" t="str">
        <f>IF(B40="","",C40*Apoio!U15)</f>
        <v/>
      </c>
      <c r="H40" s="14" t="str">
        <f t="shared" si="19"/>
        <v/>
      </c>
      <c r="K40" s="37"/>
      <c r="AD40" s="43"/>
      <c r="AE40" s="43"/>
      <c r="AF40" s="43"/>
      <c r="AH40" s="1" t="str">
        <f>IF($AL$15/$AK$15&gt;Apoio!T7/Apoio!N55,Apoio!M55,"")</f>
        <v>Hidrogénio</v>
      </c>
      <c r="AI40" s="12">
        <f>IF(AH40="","",IF(AH40=$AJ$15,$AM$15,$AM$15*($AK$15/Apoio!N55)))</f>
        <v>16638.655462184874</v>
      </c>
      <c r="AJ40" s="13">
        <f>IF(AH40="","",AI40*Apoio!T7)</f>
        <v>0</v>
      </c>
      <c r="AK40" s="25">
        <f t="shared" si="20"/>
        <v>3583.1858823529415</v>
      </c>
      <c r="AL40" s="14">
        <f t="shared" si="21"/>
        <v>100</v>
      </c>
      <c r="AM40" s="14">
        <f>IF(AH40="","",AI40*Apoio!U7)</f>
        <v>3244.5378151260502</v>
      </c>
      <c r="AN40" s="14">
        <f t="shared" si="22"/>
        <v>-1868.067226890756</v>
      </c>
      <c r="AO40" s="39"/>
      <c r="AR40" s="49"/>
    </row>
    <row r="41" spans="2:44" x14ac:dyDescent="0.3">
      <c r="B41" s="1" t="str">
        <f>IF($E$8/$D$8&gt;Apoio!T16/Apoio!N63,Apoio!M63,"")</f>
        <v/>
      </c>
      <c r="C41" s="12" t="str">
        <f>IF(B41="","",IF(B41=$C$8,$F$8,$F$8*($D$8/Apoio!N63)))</f>
        <v/>
      </c>
      <c r="D41" s="13" t="str">
        <f>IF(B41="","",C41*Apoio!T16)</f>
        <v/>
      </c>
      <c r="E41" s="25" t="str">
        <f t="shared" si="17"/>
        <v/>
      </c>
      <c r="F41" s="14" t="str">
        <f t="shared" si="18"/>
        <v/>
      </c>
      <c r="G41" s="14" t="str">
        <f>IF(B41="","",C41*Apoio!U16)</f>
        <v/>
      </c>
      <c r="H41" s="14" t="str">
        <f t="shared" si="19"/>
        <v/>
      </c>
      <c r="K41" s="37"/>
      <c r="AD41" s="43"/>
      <c r="AE41" s="43"/>
      <c r="AF41" s="43"/>
      <c r="AH41" s="1" t="str">
        <f>IF($AL$15/$AK$15&gt;Apoio!T9/Apoio!N56,Apoio!M56,"")</f>
        <v>Biomassa</v>
      </c>
      <c r="AI41" s="12">
        <f>IF(AH41="","",IF(AH41=$AJ$15,$AM$15,$AM$15*($AK$15/Apoio!N56)))</f>
        <v>16638.655462184874</v>
      </c>
      <c r="AJ41" s="13">
        <f>IF(AH41="","",AI41*Apoio!T9)</f>
        <v>1825.726386554622</v>
      </c>
      <c r="AK41" s="25">
        <f t="shared" si="20"/>
        <v>1757.4594957983195</v>
      </c>
      <c r="AL41" s="14">
        <f t="shared" si="21"/>
        <v>49.0473995349709</v>
      </c>
      <c r="AM41" s="14">
        <f>IF(AH41="","",AI41*Apoio!U9)</f>
        <v>1659.7058823529412</v>
      </c>
      <c r="AN41" s="14">
        <f t="shared" si="22"/>
        <v>-283.23529411764707</v>
      </c>
      <c r="AO41" s="39"/>
      <c r="AR41" s="49"/>
    </row>
    <row r="42" spans="2:44" x14ac:dyDescent="0.3">
      <c r="B42" s="1" t="str">
        <f>IF($E$8/$D$8&gt;Apoio!T17/Apoio!N64,Apoio!M64,"")</f>
        <v/>
      </c>
      <c r="C42" s="12" t="str">
        <f>IF(B42="","",IF(B42=$C$8,$F$8,$F$8*($D$8/Apoio!N64)))</f>
        <v/>
      </c>
      <c r="D42" s="13" t="str">
        <f>IF(B42="","",C42*Apoio!T17)</f>
        <v/>
      </c>
      <c r="E42" s="25" t="str">
        <f t="shared" si="17"/>
        <v/>
      </c>
      <c r="F42" s="14" t="str">
        <f t="shared" si="18"/>
        <v/>
      </c>
      <c r="G42" s="14" t="str">
        <f>IF(B42="","",C42*Apoio!U17)</f>
        <v/>
      </c>
      <c r="H42" s="14" t="str">
        <f t="shared" si="19"/>
        <v/>
      </c>
      <c r="K42" s="37"/>
      <c r="AD42" s="43"/>
      <c r="AE42" s="43"/>
      <c r="AF42" s="43"/>
      <c r="AH42" s="1" t="str">
        <f>IF($AL$15/$AK$15&gt;Apoio!T8/Apoio!N57,Apoio!M57,"")</f>
        <v>GN + Biometano 50 %</v>
      </c>
      <c r="AI42" s="12">
        <f>IF(AH42="","",IF(AH42=$AJ$15,$AM$15,$AM$15*($AK$15/Apoio!N57)))</f>
        <v>16638.655462184874</v>
      </c>
      <c r="AJ42" s="13">
        <f>IF(AH42="","",AI42*Apoio!T8)</f>
        <v>0</v>
      </c>
      <c r="AK42" s="25">
        <f t="shared" si="20"/>
        <v>3583.1858823529415</v>
      </c>
      <c r="AL42" s="14">
        <f t="shared" si="21"/>
        <v>100</v>
      </c>
      <c r="AM42" s="14">
        <f>IF(AH42="","",AI42*Apoio!U8)</f>
        <v>171.14521008403361</v>
      </c>
      <c r="AN42" s="14">
        <f t="shared" si="22"/>
        <v>1205.3253781512606</v>
      </c>
      <c r="AR42" s="49"/>
    </row>
    <row r="43" spans="2:44" x14ac:dyDescent="0.3">
      <c r="B43" s="1" t="str">
        <f>IF($E$8/$D$8&gt;Apoio!T18/Apoio!N65,Apoio!M65,"")</f>
        <v/>
      </c>
      <c r="C43" s="12" t="str">
        <f>IF(B43="","",IF(B43=$C$8,$F$8,$F$8*($D$8/Apoio!N65)))</f>
        <v/>
      </c>
      <c r="D43" s="13" t="str">
        <f>IF(B43="","",C43*Apoio!T18)</f>
        <v/>
      </c>
      <c r="E43" s="25" t="str">
        <f t="shared" si="17"/>
        <v/>
      </c>
      <c r="F43" s="14" t="str">
        <f t="shared" si="18"/>
        <v/>
      </c>
      <c r="G43" s="14" t="str">
        <f>IF(B43="","",C43*Apoio!U18)</f>
        <v/>
      </c>
      <c r="H43" s="14" t="str">
        <f t="shared" si="19"/>
        <v/>
      </c>
      <c r="K43" s="37"/>
      <c r="AD43" s="43"/>
      <c r="AE43" s="43"/>
      <c r="AF43" s="43"/>
      <c r="AH43" s="1" t="str">
        <f>IF($AL$15/$AK$15&gt;Apoio!T12/Apoio!N58,Apoio!M58,"")</f>
        <v>GN + H2  20 %</v>
      </c>
      <c r="AI43" s="12">
        <f>IF(AH43="","",IF(AH43=$AJ$15,$AM$15,$AM$15*($AK$15/Apoio!N58)))</f>
        <v>16638.655462184874</v>
      </c>
      <c r="AJ43" s="13">
        <f>IF(AH43="","",AI43*Apoio!T12)</f>
        <v>3265.5224873949578</v>
      </c>
      <c r="AK43" s="25">
        <f t="shared" si="20"/>
        <v>317.66339495798366</v>
      </c>
      <c r="AL43" s="14">
        <f t="shared" si="21"/>
        <v>8.8653897784779794</v>
      </c>
      <c r="AM43" s="14">
        <f>IF(AH43="","",AI43*Apoio!U12)</f>
        <v>1485.0000000000002</v>
      </c>
      <c r="AN43" s="14">
        <f t="shared" si="22"/>
        <v>-108.52941176470608</v>
      </c>
      <c r="AR43" s="49"/>
    </row>
    <row r="44" spans="2:44" x14ac:dyDescent="0.3">
      <c r="K44" s="37"/>
      <c r="AD44" s="43"/>
      <c r="AE44" s="43"/>
      <c r="AF44" s="43"/>
      <c r="AH44" s="1" t="str">
        <f>IF($AL$15/$AK$15&gt;Apoio!T10/Apoio!N59,Apoio!M59,"")</f>
        <v>GN + H2  10 %</v>
      </c>
      <c r="AI44" s="12">
        <f>IF(AH44="","",IF(AH44=$AJ$15,$AM$15,$AM$15*($AK$15/Apoio!N59)))</f>
        <v>16638.655462184874</v>
      </c>
      <c r="AJ44" s="13">
        <f>IF(AH44="","",AI44*Apoio!T10)</f>
        <v>2512.4369747899159</v>
      </c>
      <c r="AK44" s="25">
        <f t="shared" si="20"/>
        <v>1070.7489075630256</v>
      </c>
      <c r="AL44" s="14">
        <f t="shared" si="21"/>
        <v>29.882594504416431</v>
      </c>
      <c r="AM44" s="14">
        <f>IF(AH44="","",AI44*Apoio!U10)</f>
        <v>2089.1495798319329</v>
      </c>
      <c r="AN44" s="14">
        <f t="shared" si="22"/>
        <v>-712.67899159663875</v>
      </c>
      <c r="AR44" s="49"/>
    </row>
    <row r="45" spans="2:44" x14ac:dyDescent="0.3">
      <c r="I45" s="39"/>
      <c r="K45" s="37"/>
      <c r="AD45" s="43"/>
      <c r="AE45" s="43"/>
      <c r="AF45" s="43"/>
      <c r="AH45" s="1" t="str">
        <f>IF($AL$15/$AK$15&gt;Apoio!T13/Apoio!N60,Apoio!M60,"")</f>
        <v>Gás Natural</v>
      </c>
      <c r="AI45" s="12">
        <f>IF(AH45="","",IF(AH45=$AJ$15,$AM$15,$AM$15*($AK$15/Apoio!N60)))</f>
        <v>17647.058823529413</v>
      </c>
      <c r="AJ45" s="13">
        <f>IF(AH45="","",AI45*Apoio!T13)</f>
        <v>3583.1858823529415</v>
      </c>
      <c r="AK45" s="25">
        <f t="shared" si="20"/>
        <v>0</v>
      </c>
      <c r="AL45" s="14">
        <f t="shared" si="21"/>
        <v>0</v>
      </c>
      <c r="AM45" s="14">
        <f>IF(AH45="","",AI45*Apoio!U13)</f>
        <v>1367.6470588235295</v>
      </c>
      <c r="AN45" s="14">
        <f t="shared" si="22"/>
        <v>8.823529411764639</v>
      </c>
      <c r="AR45" s="49"/>
    </row>
    <row r="46" spans="2:44" x14ac:dyDescent="0.3">
      <c r="B46" s="29" t="s">
        <v>85</v>
      </c>
      <c r="C46" s="71" t="str">
        <f>B6&amp;" "&amp;C6</f>
        <v>Forno Gás Natural</v>
      </c>
      <c r="D46" s="71"/>
      <c r="E46" s="71"/>
      <c r="F46" s="71"/>
      <c r="G46" s="71"/>
      <c r="H46" s="71"/>
      <c r="I46" s="39"/>
      <c r="K46" s="37"/>
      <c r="AD46" s="43"/>
      <c r="AE46" s="43"/>
      <c r="AF46" s="43"/>
      <c r="AH46" s="1" t="str">
        <f>IF($AL$15/$AK$15&gt;Apoio!T14/Apoio!N61,Apoio!M61,"")</f>
        <v/>
      </c>
      <c r="AI46" s="12" t="str">
        <f>IF(AH46="","",IF(AH46=$AJ$15,$AM$15,$AM$15*($AK$15/Apoio!N61)))</f>
        <v/>
      </c>
      <c r="AJ46" s="13" t="str">
        <f>IF(AH46="","",AI46*Apoio!T14)</f>
        <v/>
      </c>
      <c r="AK46" s="25" t="str">
        <f t="shared" si="20"/>
        <v/>
      </c>
      <c r="AL46" s="14" t="str">
        <f t="shared" si="21"/>
        <v/>
      </c>
      <c r="AM46" s="14" t="str">
        <f>IF(AH46="","",AI46*Apoio!U14)</f>
        <v/>
      </c>
      <c r="AN46" s="14" t="str">
        <f t="shared" si="22"/>
        <v/>
      </c>
      <c r="AR46" s="49"/>
    </row>
    <row r="47" spans="2:44" ht="15.6" x14ac:dyDescent="0.35">
      <c r="B47" s="29" t="s">
        <v>78</v>
      </c>
      <c r="C47" s="40" t="s">
        <v>52</v>
      </c>
      <c r="D47" s="40" t="s">
        <v>53</v>
      </c>
      <c r="E47" s="40" t="s">
        <v>79</v>
      </c>
      <c r="F47" s="40" t="s">
        <v>80</v>
      </c>
      <c r="G47" s="40" t="s">
        <v>81</v>
      </c>
      <c r="H47" s="40" t="s">
        <v>82</v>
      </c>
      <c r="I47" s="39"/>
      <c r="K47" s="37"/>
      <c r="AD47" s="43"/>
      <c r="AE47" s="43"/>
      <c r="AF47" s="43"/>
      <c r="AH47" s="1" t="str">
        <f>IF($AL$15/$AK$15&gt;Apoio!T15/Apoio!N62,Apoio!M62,"")</f>
        <v/>
      </c>
      <c r="AI47" s="12" t="str">
        <f>IF(AH47="","",IF(AH47=$AJ$15,$AM$15,$AM$15*($AK$15/Apoio!N62)))</f>
        <v/>
      </c>
      <c r="AJ47" s="13" t="str">
        <f>IF(AH47="","",AI47*Apoio!T15)</f>
        <v/>
      </c>
      <c r="AK47" s="25" t="str">
        <f t="shared" si="20"/>
        <v/>
      </c>
      <c r="AL47" s="14" t="str">
        <f t="shared" si="21"/>
        <v/>
      </c>
      <c r="AM47" s="14" t="str">
        <f>IF(AH47="","",AI47*Apoio!U15)</f>
        <v/>
      </c>
      <c r="AN47" s="14" t="str">
        <f t="shared" si="22"/>
        <v/>
      </c>
      <c r="AR47" s="49"/>
    </row>
    <row r="48" spans="2:44" x14ac:dyDescent="0.3">
      <c r="B48" s="1" t="str">
        <f>IF($E$6/$D$6&gt;Apoio!T6/Apoio!N22,Apoio!M22,"")</f>
        <v>Biometano</v>
      </c>
      <c r="C48" s="12">
        <f>IF(B48="","",IF(B48=$C$6,$F$6,$F$6*($D$6/Apoio!N22)))</f>
        <v>50909.090909090912</v>
      </c>
      <c r="D48" s="13">
        <f>IF(B48="","",C48*Apoio!T6)</f>
        <v>2036.1599999999999</v>
      </c>
      <c r="E48" s="25">
        <f>IF(B48="","",$G$6-D48)</f>
        <v>8623.8180000000011</v>
      </c>
      <c r="F48" s="14">
        <f>IF(B48="","",(($G$6-D48)/$G$6*100))</f>
        <v>80.899022493292208</v>
      </c>
      <c r="G48" s="14">
        <f>IF(B48="","",C48*Apoio!U6)</f>
        <v>6210.909090909091</v>
      </c>
      <c r="H48" s="14">
        <f>IF(B48="","",$I$6-G48)</f>
        <v>-2115.909090909091</v>
      </c>
      <c r="I48" s="39"/>
      <c r="K48" s="37"/>
      <c r="AD48" s="43"/>
      <c r="AE48" s="43"/>
      <c r="AF48" s="43"/>
      <c r="AH48" s="1" t="str">
        <f>IF($AL$15/$AK$15&gt;Apoio!T16/Apoio!N63,Apoio!M63,"")</f>
        <v/>
      </c>
      <c r="AI48" s="12" t="str">
        <f>IF(AH48="","",IF(AH48=$AJ$15,$AM$15,$AM$15*($AK$15/Apoio!N63)))</f>
        <v/>
      </c>
      <c r="AJ48" s="13" t="str">
        <f>IF(AH48="","",AI48*Apoio!T16)</f>
        <v/>
      </c>
      <c r="AK48" s="25" t="str">
        <f t="shared" si="20"/>
        <v/>
      </c>
      <c r="AL48" s="14" t="str">
        <f t="shared" si="21"/>
        <v/>
      </c>
      <c r="AM48" s="14" t="str">
        <f>IF(AH48="","",AI48*Apoio!U16)</f>
        <v/>
      </c>
      <c r="AN48" s="14" t="str">
        <f t="shared" si="22"/>
        <v/>
      </c>
      <c r="AR48" s="49"/>
    </row>
    <row r="49" spans="2:44" x14ac:dyDescent="0.3">
      <c r="B49" s="1" t="str">
        <f>IF($E$6/$D$6&gt;Apoio!T7/Apoio!N23,Apoio!M23,"")</f>
        <v>Hidrogénio</v>
      </c>
      <c r="C49" s="12">
        <f>IF(B49="","",IF(B49=$C$6,$F$6,$F$6*($D$6/Apoio!N23)))</f>
        <v>50909.090909090912</v>
      </c>
      <c r="D49" s="13">
        <f>IF(B49="","",C49*Apoio!T7)</f>
        <v>0</v>
      </c>
      <c r="E49" s="25">
        <f t="shared" ref="E49:E60" si="23">IF(B49="","",$G$6-D49)</f>
        <v>10659.978000000001</v>
      </c>
      <c r="F49" s="14">
        <f t="shared" ref="F49:F60" si="24">IF(B49="","",(($G$6-D49)/$G$6*100))</f>
        <v>100</v>
      </c>
      <c r="G49" s="14">
        <f>IF(B49="","",C49*Apoio!U7)</f>
        <v>9927.2727272727261</v>
      </c>
      <c r="H49" s="14">
        <f t="shared" ref="H49:H60" si="25">IF(B49="","",$I$6-G49)</f>
        <v>-5832.2727272727261</v>
      </c>
      <c r="K49" s="37"/>
      <c r="AD49" s="43"/>
      <c r="AE49" s="43"/>
      <c r="AF49" s="43"/>
      <c r="AH49" s="1" t="str">
        <f>IF($AL$15/$AK$15&gt;Apoio!T17/Apoio!N64,Apoio!M64,"")</f>
        <v/>
      </c>
      <c r="AI49" s="12" t="str">
        <f>IF(AH49="","",IF(AH49=$AJ$15,$AM$15,$AM$15*($AK$15/Apoio!N64)))</f>
        <v/>
      </c>
      <c r="AJ49" s="13" t="str">
        <f>IF(AH49="","",AI49*Apoio!T17)</f>
        <v/>
      </c>
      <c r="AK49" s="25" t="str">
        <f t="shared" si="20"/>
        <v/>
      </c>
      <c r="AL49" s="14" t="str">
        <f t="shared" si="21"/>
        <v/>
      </c>
      <c r="AM49" s="14" t="str">
        <f>IF(AH49="","",AI49*Apoio!U17)</f>
        <v/>
      </c>
      <c r="AN49" s="14" t="str">
        <f t="shared" si="22"/>
        <v/>
      </c>
      <c r="AR49" s="49"/>
    </row>
    <row r="50" spans="2:44" x14ac:dyDescent="0.3">
      <c r="B50" s="1" t="str">
        <f>IF($E$6/$D$6&gt;Apoio!T8/Apoio!N24,Apoio!M24,"")</f>
        <v>Biomassa</v>
      </c>
      <c r="C50" s="12">
        <f>IF(B50="","",IF(B50=$C$6,$F$6,$F$6*($D$6/Apoio!N24)))</f>
        <v>50909.090909090912</v>
      </c>
      <c r="D50" s="13">
        <f>IF(B50="","",C50*Apoio!T8)</f>
        <v>0</v>
      </c>
      <c r="E50" s="25">
        <f t="shared" si="23"/>
        <v>10659.978000000001</v>
      </c>
      <c r="F50" s="14">
        <f t="shared" si="24"/>
        <v>100</v>
      </c>
      <c r="G50" s="14">
        <f>IF(B50="","",C50*Apoio!U8)</f>
        <v>523.65090909090907</v>
      </c>
      <c r="H50" s="14">
        <f t="shared" si="25"/>
        <v>3571.349090909091</v>
      </c>
      <c r="K50" s="37"/>
      <c r="AD50" s="43"/>
      <c r="AE50" s="43"/>
      <c r="AF50" s="43"/>
      <c r="AH50" s="1" t="str">
        <f>IF($AL$15/$AK$15&gt;Apoio!T18/Apoio!N65,Apoio!M65,"")</f>
        <v/>
      </c>
      <c r="AI50" s="12" t="str">
        <f>IF(AH50="","",IF(AH50=$AJ$15,$AM$15,$AM$15*($AK$15/Apoio!N65)))</f>
        <v/>
      </c>
      <c r="AJ50" s="13" t="str">
        <f>IF(AH50="","",AI50*Apoio!T18)</f>
        <v/>
      </c>
      <c r="AK50" s="25" t="str">
        <f t="shared" si="20"/>
        <v/>
      </c>
      <c r="AL50" s="14" t="str">
        <f t="shared" si="21"/>
        <v/>
      </c>
      <c r="AM50" s="14" t="str">
        <f>IF(AH50="","",AI50*Apoio!U18)</f>
        <v/>
      </c>
      <c r="AN50" s="14" t="str">
        <f t="shared" si="22"/>
        <v/>
      </c>
      <c r="AR50" s="49"/>
    </row>
    <row r="51" spans="2:44" x14ac:dyDescent="0.3">
      <c r="B51" s="1" t="str">
        <f>IF($E$6/$D$6&gt;Apoio!T9/Apoio!N25,Apoio!M25,"")</f>
        <v>GN + Biometano 50 %</v>
      </c>
      <c r="C51" s="12">
        <f>IF(B51="","",IF(B51=$C$6,$F$6,$F$6*($D$6/Apoio!N25)))</f>
        <v>50909.090909090912</v>
      </c>
      <c r="D51" s="13">
        <f>IF(B51="","",C51*Apoio!T9)</f>
        <v>5586.152727272728</v>
      </c>
      <c r="E51" s="25">
        <f t="shared" si="23"/>
        <v>5073.8252727272729</v>
      </c>
      <c r="F51" s="14">
        <f t="shared" si="24"/>
        <v>47.596958199419106</v>
      </c>
      <c r="G51" s="14">
        <f>IF(B51="","",C51*Apoio!U9)</f>
        <v>5078.1818181818189</v>
      </c>
      <c r="H51" s="14">
        <f t="shared" si="25"/>
        <v>-983.18181818181893</v>
      </c>
      <c r="K51" s="37"/>
      <c r="AD51" s="43"/>
      <c r="AE51" s="43"/>
      <c r="AF51" s="43"/>
      <c r="AR51" s="49"/>
    </row>
    <row r="52" spans="2:44" x14ac:dyDescent="0.3">
      <c r="B52" s="1" t="str">
        <f>IF($E$6/$D$6&gt;Apoio!T10/Apoio!N26,Apoio!M26,"")</f>
        <v>Eletricidade</v>
      </c>
      <c r="C52" s="12">
        <f>IF(B52="","",IF(B52=$C$6,$F$6,$F$6*($D$6/Apoio!N26)))</f>
        <v>46927.374301675976</v>
      </c>
      <c r="D52" s="13">
        <f>IF(B52="","",C52*Apoio!T10)</f>
        <v>7086.0335195530724</v>
      </c>
      <c r="E52" s="25">
        <f t="shared" si="23"/>
        <v>3573.9444804469285</v>
      </c>
      <c r="F52" s="14">
        <f t="shared" si="24"/>
        <v>33.526752873663796</v>
      </c>
      <c r="G52" s="14">
        <f>IF(B52="","",C52*Apoio!U10)</f>
        <v>5892.2011173184355</v>
      </c>
      <c r="H52" s="14">
        <f t="shared" si="25"/>
        <v>-1797.2011173184355</v>
      </c>
      <c r="K52" s="37"/>
      <c r="AD52" s="43"/>
      <c r="AE52" s="43"/>
      <c r="AF52" s="43"/>
      <c r="AI52" s="66">
        <f>+AI56+AI40</f>
        <v>29365.928189457598</v>
      </c>
      <c r="AR52" s="49"/>
    </row>
    <row r="53" spans="2:44" x14ac:dyDescent="0.3">
      <c r="B53" s="1" t="str">
        <f>IF($E$6/$D$6&gt;Apoio!T11/Apoio!N27,Apoio!M27,"")</f>
        <v>GN + H2  20 %</v>
      </c>
      <c r="C53" s="12">
        <f>IF(B53="","",IF(B53=$C$6,$F$6,$F$6*($D$6/Apoio!N27)))</f>
        <v>50909.090909090912</v>
      </c>
      <c r="D53" s="13">
        <f>IF(B53="","",C53*Apoio!T11)</f>
        <v>9579.6654545454548</v>
      </c>
      <c r="E53" s="25">
        <f t="shared" si="23"/>
        <v>1080.3125454545461</v>
      </c>
      <c r="F53" s="14">
        <f t="shared" si="24"/>
        <v>10.13428494368887</v>
      </c>
      <c r="G53" s="14">
        <f>IF(B53="","",C53*Apoio!U11)</f>
        <v>5141.818181818182</v>
      </c>
      <c r="H53" s="14">
        <f t="shared" si="25"/>
        <v>-1046.818181818182</v>
      </c>
      <c r="K53" s="37"/>
      <c r="AD53" s="43"/>
      <c r="AE53" s="43"/>
      <c r="AF53" s="43"/>
      <c r="AH53" s="29" t="s">
        <v>85</v>
      </c>
      <c r="AI53" s="71" t="str">
        <f>AH14&amp;" "&amp;AJ14</f>
        <v>Caldeira Gás Natural</v>
      </c>
      <c r="AJ53" s="71"/>
      <c r="AK53" s="71"/>
      <c r="AL53" s="71"/>
      <c r="AM53" s="71"/>
      <c r="AN53" s="71"/>
      <c r="AO53" s="39"/>
      <c r="AR53" s="49"/>
    </row>
    <row r="54" spans="2:44" ht="15.6" x14ac:dyDescent="0.35">
      <c r="B54" s="1" t="str">
        <f>IF($E$6/$D$6&gt;Apoio!T12/Apoio!N28,Apoio!M28,"")</f>
        <v>GN + H2  10 %</v>
      </c>
      <c r="C54" s="12">
        <f>IF(B54="","",IF(B54=$C$6,$F$6,$F$6*($D$6/Apoio!N28)))</f>
        <v>50909.090909090912</v>
      </c>
      <c r="D54" s="13">
        <f>IF(B54="","",C54*Apoio!T12)</f>
        <v>9991.4792727272725</v>
      </c>
      <c r="E54" s="25">
        <f t="shared" si="23"/>
        <v>668.4987272727285</v>
      </c>
      <c r="F54" s="14">
        <f t="shared" si="24"/>
        <v>6.2711079448074702</v>
      </c>
      <c r="G54" s="14">
        <f>IF(B54="","",C54*Apoio!U12)</f>
        <v>4543.636363636364</v>
      </c>
      <c r="H54" s="14">
        <f t="shared" si="25"/>
        <v>-448.63636363636397</v>
      </c>
      <c r="K54" s="37"/>
      <c r="AD54" s="43"/>
      <c r="AE54" s="43"/>
      <c r="AF54" s="43"/>
      <c r="AH54" s="29" t="s">
        <v>78</v>
      </c>
      <c r="AI54" s="40" t="s">
        <v>52</v>
      </c>
      <c r="AJ54" s="40" t="s">
        <v>53</v>
      </c>
      <c r="AK54" s="40" t="s">
        <v>79</v>
      </c>
      <c r="AL54" s="40" t="s">
        <v>80</v>
      </c>
      <c r="AM54" s="40" t="s">
        <v>81</v>
      </c>
      <c r="AN54" s="40" t="s">
        <v>82</v>
      </c>
      <c r="AO54" s="65">
        <f>+AM40+AM56</f>
        <v>5726.3559969442322</v>
      </c>
      <c r="AR54" s="49"/>
    </row>
    <row r="55" spans="2:44" x14ac:dyDescent="0.3">
      <c r="B55" s="1" t="str">
        <f>IF($E$6/$D$6&gt;Apoio!T13/Apoio!N29,Apoio!M29,"")</f>
        <v>Gás Natural</v>
      </c>
      <c r="C55" s="12">
        <f>IF(B55="","",IF(B55=$C$6,$F$6,$F$6*($D$6/Apoio!N29)))</f>
        <v>52500</v>
      </c>
      <c r="D55" s="13">
        <f>IF(B55="","",C55*Apoio!T13)</f>
        <v>10659.978000000001</v>
      </c>
      <c r="E55" s="25">
        <f t="shared" si="23"/>
        <v>0</v>
      </c>
      <c r="F55" s="14">
        <f t="shared" si="24"/>
        <v>0</v>
      </c>
      <c r="G55" s="14">
        <f>IF(B55="","",C55*Apoio!U13)</f>
        <v>4068.75</v>
      </c>
      <c r="H55" s="14">
        <f t="shared" si="25"/>
        <v>26.25</v>
      </c>
      <c r="K55" s="37"/>
      <c r="AD55" s="43"/>
      <c r="AE55" s="43"/>
      <c r="AF55" s="43"/>
      <c r="AH55" s="1" t="str">
        <f>IF($AL$14/$AK$14&gt;Apoio!T6/Apoio!N22,Apoio!M22,"")</f>
        <v>Biometano</v>
      </c>
      <c r="AI55" s="12">
        <f>IF(AH55="","",IF(AH55=$AJ$14,$AM$14,$AM$14*($AK$14/Apoio!N22)))</f>
        <v>12727.272727272726</v>
      </c>
      <c r="AJ55" s="13">
        <f>IF(AH55="","",AI55*Apoio!T6)</f>
        <v>509.03999999999991</v>
      </c>
      <c r="AK55" s="25">
        <f>IF(AH55="","",$AN$14-AJ55)</f>
        <v>1999.1901176470587</v>
      </c>
      <c r="AL55" s="14">
        <f>IF(AH55="","",(($AN$14-AJ55)/$AN$14*100))</f>
        <v>79.705211399122959</v>
      </c>
      <c r="AM55" s="14">
        <f>IF(AH55="","",AI55*Apoio!U6)</f>
        <v>1552.7272727272725</v>
      </c>
      <c r="AN55" s="14">
        <f>IF(AH55="","",$AP$14-AM55)</f>
        <v>-589.19786096256666</v>
      </c>
      <c r="AO55" s="39"/>
      <c r="AR55" s="49"/>
    </row>
    <row r="56" spans="2:44" x14ac:dyDescent="0.3">
      <c r="B56" s="1" t="str">
        <f>IF($E$6/$D$6&gt;Apoio!T14/Apoio!N30,Apoio!M30,"")</f>
        <v/>
      </c>
      <c r="C56" s="12" t="str">
        <f>IF(B56="","",IF(B56=$C$6,$F$6,$F$6*($D$6/Apoio!N30)))</f>
        <v/>
      </c>
      <c r="D56" s="13" t="str">
        <f>IF(B56="","",C56*Apoio!T14)</f>
        <v/>
      </c>
      <c r="E56" s="25" t="str">
        <f t="shared" si="23"/>
        <v/>
      </c>
      <c r="F56" s="14" t="str">
        <f t="shared" si="24"/>
        <v/>
      </c>
      <c r="G56" s="14" t="str">
        <f>IF(B56="","",C56*Apoio!U14)</f>
        <v/>
      </c>
      <c r="H56" s="14" t="str">
        <f t="shared" si="25"/>
        <v/>
      </c>
      <c r="K56" s="37"/>
      <c r="AD56" s="43"/>
      <c r="AE56" s="43"/>
      <c r="AF56" s="43"/>
      <c r="AH56" s="1" t="str">
        <f>IF($AL$14/$AK$14&gt;Apoio!T7/Apoio!N23,Apoio!M23,"")</f>
        <v>Hidrogénio</v>
      </c>
      <c r="AI56" s="12">
        <f>IF(AH56="","",IF(AH56=$AJ$14,$AM$14,$AM$14*($AK$14/Apoio!N23)))</f>
        <v>12727.272727272726</v>
      </c>
      <c r="AJ56" s="13">
        <f>IF(AH56="","",AI56*Apoio!T7)</f>
        <v>0</v>
      </c>
      <c r="AK56" s="25">
        <f t="shared" ref="AK56:AK67" si="26">IF(AH56="","",$AN$14-AJ56)</f>
        <v>2508.2301176470587</v>
      </c>
      <c r="AL56" s="14">
        <f t="shared" ref="AL56:AL67" si="27">IF(AH56="","",(($AN$14-AJ56)/$AN$14*100))</f>
        <v>100</v>
      </c>
      <c r="AM56" s="14">
        <f>IF(AH56="","",AI56*Apoio!U7)</f>
        <v>2481.8181818181815</v>
      </c>
      <c r="AN56" s="14">
        <f t="shared" ref="AN56:AN67" si="28">IF(AH56="","",$AP$14-AM56)</f>
        <v>-1518.2887700534757</v>
      </c>
      <c r="AO56" s="39"/>
      <c r="AR56" s="49"/>
    </row>
    <row r="57" spans="2:44" x14ac:dyDescent="0.3">
      <c r="B57" s="1" t="str">
        <f>IF($E$6/$D$6&gt;Apoio!T15/Apoio!N31,Apoio!M31,"")</f>
        <v/>
      </c>
      <c r="C57" s="12" t="str">
        <f>IF(B57="","",IF(B57=$C$6,$F$6,$F$6*($D$6/Apoio!N31)))</f>
        <v/>
      </c>
      <c r="D57" s="13" t="str">
        <f>IF(B57="","",C57*Apoio!T15)</f>
        <v/>
      </c>
      <c r="E57" s="25" t="str">
        <f t="shared" si="23"/>
        <v/>
      </c>
      <c r="F57" s="14" t="str">
        <f t="shared" si="24"/>
        <v/>
      </c>
      <c r="G57" s="14" t="str">
        <f>IF(B57="","",C57*Apoio!U15)</f>
        <v/>
      </c>
      <c r="H57" s="14" t="str">
        <f t="shared" si="25"/>
        <v/>
      </c>
      <c r="K57" s="37"/>
      <c r="AD57" s="43"/>
      <c r="AE57" s="43"/>
      <c r="AF57" s="43"/>
      <c r="AH57" s="1" t="str">
        <f>IF($AL$14/$AK$14&gt;Apoio!T8/Apoio!N24,Apoio!M24,"")</f>
        <v>Biomassa</v>
      </c>
      <c r="AI57" s="12">
        <f>IF(AH57="","",IF(AH57=$AJ$14,$AM$14,$AM$14*($AK$14/Apoio!N24)))</f>
        <v>12727.272727272726</v>
      </c>
      <c r="AJ57" s="13">
        <f>IF(AH57="","",AI57*Apoio!T9)</f>
        <v>1396.5381818181818</v>
      </c>
      <c r="AK57" s="25">
        <f t="shared" si="26"/>
        <v>1111.6919358288769</v>
      </c>
      <c r="AL57" s="14">
        <f t="shared" si="27"/>
        <v>44.321768086882798</v>
      </c>
      <c r="AM57" s="14">
        <f>IF(AH57="","",AI57*Apoio!U9)</f>
        <v>1269.5454545454545</v>
      </c>
      <c r="AN57" s="14">
        <f t="shared" si="28"/>
        <v>-306.01604278074865</v>
      </c>
      <c r="AR57" s="49"/>
    </row>
    <row r="58" spans="2:44" x14ac:dyDescent="0.3">
      <c r="B58" s="1" t="str">
        <f>IF($E$6/$D$6&gt;Apoio!T16/Apoio!N32,Apoio!M32,"")</f>
        <v/>
      </c>
      <c r="C58" s="12" t="str">
        <f>IF(B58="","",IF(B58=$C$6,$F$6,$F$6*($D$6/Apoio!N32)))</f>
        <v/>
      </c>
      <c r="D58" s="13" t="str">
        <f>IF(B58="","",C58*Apoio!T16)</f>
        <v/>
      </c>
      <c r="E58" s="25" t="str">
        <f t="shared" si="23"/>
        <v/>
      </c>
      <c r="F58" s="14" t="str">
        <f t="shared" si="24"/>
        <v/>
      </c>
      <c r="G58" s="14" t="str">
        <f>IF(B58="","",C58*Apoio!U16)</f>
        <v/>
      </c>
      <c r="H58" s="14" t="str">
        <f t="shared" si="25"/>
        <v/>
      </c>
      <c r="K58" s="37"/>
      <c r="AD58" s="43"/>
      <c r="AE58" s="43"/>
      <c r="AF58" s="43"/>
      <c r="AH58" s="1" t="str">
        <f>IF($AL$14/$AK$14&gt;Apoio!T9/Apoio!N25,Apoio!M25,"")</f>
        <v>GN + Biometano 50 %</v>
      </c>
      <c r="AI58" s="12">
        <f>IF(AH58="","",IF(AH58=$AJ$14,$AM$14,$AM$14*($AK$14/Apoio!N25)))</f>
        <v>12727.272727272726</v>
      </c>
      <c r="AJ58" s="13">
        <f>IF(AH58="","",AI58*Apoio!T8)</f>
        <v>0</v>
      </c>
      <c r="AK58" s="25">
        <f t="shared" si="26"/>
        <v>2508.2301176470587</v>
      </c>
      <c r="AL58" s="14">
        <f t="shared" si="27"/>
        <v>100</v>
      </c>
      <c r="AM58" s="14">
        <f>IF(AH58="","",AI58*Apoio!U8)</f>
        <v>130.91272727272727</v>
      </c>
      <c r="AN58" s="14">
        <f t="shared" si="28"/>
        <v>832.61668449197862</v>
      </c>
      <c r="AR58" s="49"/>
    </row>
    <row r="59" spans="2:44" x14ac:dyDescent="0.3">
      <c r="B59" s="1" t="str">
        <f>IF($E$6/$D$6&gt;Apoio!T17/Apoio!N33,Apoio!M33,"")</f>
        <v/>
      </c>
      <c r="C59" s="12" t="str">
        <f>IF(B59="","",IF(B59=$C$6,$F$6,$F$6*($D$6/Apoio!N33)))</f>
        <v/>
      </c>
      <c r="D59" s="13" t="str">
        <f>IF(B59="","",C59*Apoio!T17)</f>
        <v/>
      </c>
      <c r="E59" s="25" t="str">
        <f t="shared" si="23"/>
        <v/>
      </c>
      <c r="F59" s="14" t="str">
        <f t="shared" si="24"/>
        <v/>
      </c>
      <c r="G59" s="14" t="str">
        <f>IF(B59="","",C59*Apoio!U17)</f>
        <v/>
      </c>
      <c r="H59" s="14" t="str">
        <f t="shared" si="25"/>
        <v/>
      </c>
      <c r="AD59" s="43"/>
      <c r="AE59" s="43"/>
      <c r="AF59" s="43"/>
      <c r="AH59" s="1" t="str">
        <f>IF($AL$14/$AK$14&gt;Apoio!T10/Apoio!N26,Apoio!M26,"")</f>
        <v>Eletricidade</v>
      </c>
      <c r="AI59" s="12">
        <f>IF(AH59="","",IF(AH59=$AJ$14,$AM$14,$AM$14*($AK$14/Apoio!N26)))</f>
        <v>11731.843575418994</v>
      </c>
      <c r="AJ59" s="13">
        <f>IF(AH59="","",AI59*Apoio!T11)</f>
        <v>2207.6044692737432</v>
      </c>
      <c r="AK59" s="25">
        <f t="shared" si="26"/>
        <v>300.62564837331547</v>
      </c>
      <c r="AL59" s="14">
        <f t="shared" si="27"/>
        <v>11.985568878158949</v>
      </c>
      <c r="AM59" s="14">
        <f>IF(AH59="","",AI59*Apoio!U11)</f>
        <v>1184.9162011173185</v>
      </c>
      <c r="AN59" s="14">
        <f t="shared" si="28"/>
        <v>-221.3867893526126</v>
      </c>
      <c r="AR59" s="49"/>
    </row>
    <row r="60" spans="2:44" x14ac:dyDescent="0.3">
      <c r="B60" s="1" t="str">
        <f>IF($E$6/$D$6&gt;Apoio!T18/Apoio!N34,Apoio!M34,"")</f>
        <v/>
      </c>
      <c r="C60" s="12" t="str">
        <f>IF(B60="","",IF(B60=$C$6,$F$6,$F$6*($D$6/Apoio!N34)))</f>
        <v/>
      </c>
      <c r="D60" s="13" t="str">
        <f>IF(B60="","",C60*Apoio!T18)</f>
        <v/>
      </c>
      <c r="E60" s="25" t="str">
        <f t="shared" si="23"/>
        <v/>
      </c>
      <c r="F60" s="14" t="str">
        <f t="shared" si="24"/>
        <v/>
      </c>
      <c r="G60" s="14" t="str">
        <f>IF(B60="","",C60*Apoio!U18)</f>
        <v/>
      </c>
      <c r="H60" s="14" t="str">
        <f t="shared" si="25"/>
        <v/>
      </c>
      <c r="AD60" s="43"/>
      <c r="AE60" s="43"/>
      <c r="AF60" s="43"/>
      <c r="AH60" s="1" t="str">
        <f>IF($AL$14/$AK$14&gt;Apoio!T11/Apoio!N27,Apoio!M27,"")</f>
        <v>GN + H2  20 %</v>
      </c>
      <c r="AI60" s="12">
        <f>IF(AH60="","",IF(AH60=$AJ$14,$AM$14,$AM$14*($AK$14/Apoio!N27)))</f>
        <v>12727.272727272726</v>
      </c>
      <c r="AJ60" s="13">
        <f>IF(AH60="","",AI60*Apoio!T12)</f>
        <v>2497.8698181818181</v>
      </c>
      <c r="AK60" s="25">
        <f t="shared" si="26"/>
        <v>10.360299465240587</v>
      </c>
      <c r="AL60" s="14">
        <f t="shared" si="27"/>
        <v>0.41305219135792304</v>
      </c>
      <c r="AM60" s="14">
        <f>IF(AH60="","",AI60*Apoio!U12)</f>
        <v>1135.909090909091</v>
      </c>
      <c r="AN60" s="14">
        <f t="shared" si="28"/>
        <v>-172.37967914438514</v>
      </c>
      <c r="AR60" s="49"/>
    </row>
    <row r="61" spans="2:44" x14ac:dyDescent="0.3">
      <c r="AD61" s="43"/>
      <c r="AE61" s="43"/>
      <c r="AF61" s="43"/>
      <c r="AH61" s="1" t="str">
        <f>IF($AL$14/$AK$14&gt;Apoio!T12/Apoio!N28,Apoio!M28,"")</f>
        <v>GN + H2  10 %</v>
      </c>
      <c r="AI61" s="12">
        <f>IF(AH61="","",IF(AH61=$AJ$14,$AM$14,$AM$14*($AK$14/Apoio!N28)))</f>
        <v>12727.272727272726</v>
      </c>
      <c r="AJ61" s="13">
        <f>IF(AH61="","",AI61*Apoio!T10)</f>
        <v>1921.8181818181815</v>
      </c>
      <c r="AK61" s="25">
        <f t="shared" si="26"/>
        <v>586.41193582887718</v>
      </c>
      <c r="AL61" s="14">
        <f t="shared" si="27"/>
        <v>23.379510982787473</v>
      </c>
      <c r="AM61" s="14">
        <f>IF(AH61="","",AI61*Apoio!U10)</f>
        <v>1598.0363636363636</v>
      </c>
      <c r="AN61" s="14">
        <f t="shared" si="28"/>
        <v>-634.50695187165775</v>
      </c>
      <c r="AR61" s="49"/>
    </row>
    <row r="62" spans="2:44" x14ac:dyDescent="0.3">
      <c r="B62" s="29" t="s">
        <v>86</v>
      </c>
      <c r="C62" s="71" t="str">
        <f>B9&amp;" "&amp;C9</f>
        <v>Queimador (Dedicado a estufas ou banhos térmicos) Gás Natural</v>
      </c>
      <c r="D62" s="71"/>
      <c r="E62" s="71"/>
      <c r="F62" s="71"/>
      <c r="G62" s="71"/>
      <c r="H62" s="71"/>
      <c r="AD62" s="43"/>
      <c r="AE62" s="43"/>
      <c r="AF62" s="43"/>
      <c r="AH62" s="1" t="str">
        <f>IF($AL$14/$AK$14&gt;Apoio!T13/Apoio!N29,Apoio!M29,"")</f>
        <v/>
      </c>
      <c r="AI62" s="12" t="str">
        <f>IF(AH62="","",IF(AH62=$AJ$14,$AM$14,$AM$14*($AK$14/Apoio!N29)))</f>
        <v/>
      </c>
      <c r="AJ62" s="13" t="str">
        <f>IF(AH62="","",AI62*Apoio!T13)</f>
        <v/>
      </c>
      <c r="AK62" s="25" t="str">
        <f t="shared" si="26"/>
        <v/>
      </c>
      <c r="AL62" s="14" t="str">
        <f t="shared" si="27"/>
        <v/>
      </c>
      <c r="AM62" s="14" t="str">
        <f>IF(AH62="","",AI62*Apoio!U13)</f>
        <v/>
      </c>
      <c r="AN62" s="14" t="str">
        <f t="shared" si="28"/>
        <v/>
      </c>
      <c r="AR62" s="49"/>
    </row>
    <row r="63" spans="2:44" ht="15.6" x14ac:dyDescent="0.35">
      <c r="B63" s="29" t="s">
        <v>78</v>
      </c>
      <c r="C63" s="40" t="s">
        <v>52</v>
      </c>
      <c r="D63" s="40" t="s">
        <v>53</v>
      </c>
      <c r="E63" s="40" t="s">
        <v>79</v>
      </c>
      <c r="F63" s="40" t="s">
        <v>80</v>
      </c>
      <c r="G63" s="40" t="s">
        <v>81</v>
      </c>
      <c r="H63" s="40" t="s">
        <v>82</v>
      </c>
      <c r="AD63" s="43"/>
      <c r="AE63" s="43"/>
      <c r="AF63" s="43"/>
      <c r="AH63" s="1" t="str">
        <f>IF($AL$14/$AK$14&gt;Apoio!T14/Apoio!N30,Apoio!M30,"")</f>
        <v/>
      </c>
      <c r="AI63" s="12" t="str">
        <f>IF(AH63="","",IF(AH63=$AJ$14,$AM$14,$AM$14*($AK$14/Apoio!N30)))</f>
        <v/>
      </c>
      <c r="AJ63" s="13" t="str">
        <f>IF(AH63="","",AI63*Apoio!T14)</f>
        <v/>
      </c>
      <c r="AK63" s="25" t="str">
        <f t="shared" si="26"/>
        <v/>
      </c>
      <c r="AL63" s="14" t="str">
        <f t="shared" si="27"/>
        <v/>
      </c>
      <c r="AM63" s="14" t="str">
        <f>IF(AH63="","",AI63*Apoio!U14)</f>
        <v/>
      </c>
      <c r="AN63" s="14" t="str">
        <f t="shared" si="28"/>
        <v/>
      </c>
      <c r="AR63" s="49"/>
    </row>
    <row r="64" spans="2:44" x14ac:dyDescent="0.3">
      <c r="B64" s="1" t="str">
        <f>IF($E$9/$D$9&gt;Apoio!T6/Apoio!N69,Apoio!M69,"")</f>
        <v>Biometano</v>
      </c>
      <c r="C64" s="12">
        <f>IF(B64="","",IF(B64=$C$9,$F$9,$F$9*($D$9/Apoio!N69)))</f>
        <v>18.823529411764707</v>
      </c>
      <c r="D64" s="13">
        <f>IF(B64="","",C64*Apoio!T6)</f>
        <v>0.75286588235294116</v>
      </c>
      <c r="E64" s="25">
        <f t="shared" ref="E64" si="29">IF(B64="","",$G$9-D64)</f>
        <v>3.3080781176470588</v>
      </c>
      <c r="F64" s="14">
        <f t="shared" ref="F64" si="30">IF(B64="","",(($G$9-D64)/$G$9*100))</f>
        <v>81.460815949371835</v>
      </c>
      <c r="G64" s="14">
        <f>IF(B64="","",C64*Apoio!U6)</f>
        <v>2.296470588235294</v>
      </c>
      <c r="H64" s="14">
        <f>IF(B64="","",$I$9-G64)</f>
        <v>-0.73647058823529399</v>
      </c>
      <c r="AD64" s="43"/>
      <c r="AE64" s="43"/>
      <c r="AF64" s="43"/>
      <c r="AH64" s="1" t="str">
        <f>IF($AL$14/$AK$14&gt;Apoio!T15/Apoio!N31,Apoio!M31,"")</f>
        <v/>
      </c>
      <c r="AI64" s="12" t="str">
        <f>IF(AH64="","",IF(AH64=$AJ$14,$AM$14,$AM$14*($AK$14/Apoio!N31)))</f>
        <v/>
      </c>
      <c r="AJ64" s="13" t="str">
        <f>IF(AH64="","",AI64*Apoio!T15)</f>
        <v/>
      </c>
      <c r="AK64" s="25" t="str">
        <f t="shared" si="26"/>
        <v/>
      </c>
      <c r="AL64" s="14" t="str">
        <f t="shared" si="27"/>
        <v/>
      </c>
      <c r="AM64" s="14" t="str">
        <f>IF(AH64="","",AI64*Apoio!U15)</f>
        <v/>
      </c>
      <c r="AN64" s="14" t="str">
        <f t="shared" si="28"/>
        <v/>
      </c>
      <c r="AR64" s="49"/>
    </row>
    <row r="65" spans="2:44" x14ac:dyDescent="0.3">
      <c r="B65" s="1" t="str">
        <f>IF($E$9/$D$9&gt;Apoio!T7/Apoio!N70,Apoio!M70,"")</f>
        <v>Hidrogénio</v>
      </c>
      <c r="C65" s="12">
        <f>IF(B65="","",IF(B65=$C$9,$F$9,$F$9*($D$9/Apoio!N70)))</f>
        <v>18.823529411764707</v>
      </c>
      <c r="D65" s="13">
        <f>IF(B65="","",C65*Apoio!T7)</f>
        <v>0</v>
      </c>
      <c r="E65" s="25">
        <f t="shared" ref="E65:E76" si="31">IF(B65="","",$G$9-D65)</f>
        <v>4.0609440000000001</v>
      </c>
      <c r="F65" s="14">
        <f t="shared" ref="F65:F76" si="32">IF(B65="","",(($G$9-D65)/$G$9*100))</f>
        <v>100</v>
      </c>
      <c r="G65" s="14">
        <f>IF(B65="","",C65*Apoio!U7)</f>
        <v>3.6705882352941175</v>
      </c>
      <c r="H65" s="14">
        <f t="shared" ref="H65:H76" si="33">IF(B65="","",$I$9-G65)</f>
        <v>-2.1105882352941174</v>
      </c>
      <c r="AD65" s="43"/>
      <c r="AE65" s="43"/>
      <c r="AF65" s="43"/>
      <c r="AH65" s="1" t="str">
        <f>IF($AL$14/$AK$14&gt;Apoio!T16/Apoio!N32,Apoio!M32,"")</f>
        <v/>
      </c>
      <c r="AI65" s="12" t="str">
        <f>IF(AH65="","",IF(AH65=$AJ$14,$AM$14,$AM$14*($AK$14/Apoio!N32)))</f>
        <v/>
      </c>
      <c r="AJ65" s="13" t="str">
        <f>IF(AH65="","",AI65*Apoio!T16)</f>
        <v/>
      </c>
      <c r="AK65" s="25" t="str">
        <f t="shared" si="26"/>
        <v/>
      </c>
      <c r="AL65" s="14" t="str">
        <f t="shared" si="27"/>
        <v/>
      </c>
      <c r="AM65" s="14" t="str">
        <f>IF(AH65="","",AI65*Apoio!U16)</f>
        <v/>
      </c>
      <c r="AN65" s="14" t="str">
        <f t="shared" si="28"/>
        <v/>
      </c>
      <c r="AR65" s="49"/>
    </row>
    <row r="66" spans="2:44" x14ac:dyDescent="0.3">
      <c r="B66" s="1" t="str">
        <f>IF($E$9/$D$9&gt;Apoio!T9/Apoio!N71,Apoio!M71,"")</f>
        <v>Biomassa</v>
      </c>
      <c r="C66" s="12">
        <f>IF(B66="","",IF(B66=$C$9,$F$9,$F$9*($D$9/Apoio!N71)))</f>
        <v>18.823529411764707</v>
      </c>
      <c r="D66" s="13">
        <f>IF(B66="","",C66*Apoio!T9)</f>
        <v>2.065468235294118</v>
      </c>
      <c r="E66" s="25">
        <f t="shared" si="31"/>
        <v>1.9954757647058821</v>
      </c>
      <c r="F66" s="14">
        <f t="shared" si="32"/>
        <v>49.138224134730301</v>
      </c>
      <c r="G66" s="14">
        <f>IF(B66="","",C66*Apoio!U9)</f>
        <v>1.8776470588235297</v>
      </c>
      <c r="H66" s="14">
        <f t="shared" si="33"/>
        <v>-0.31764705882352962</v>
      </c>
      <c r="AD66" s="43"/>
      <c r="AE66" s="43"/>
      <c r="AF66" s="43"/>
      <c r="AH66" s="1" t="str">
        <f>IF($AL$14/$AK$14&gt;Apoio!T17/Apoio!N33,Apoio!M33,"")</f>
        <v/>
      </c>
      <c r="AI66" s="12" t="str">
        <f>IF(AH66="","",IF(AH66=$AJ$14,$AM$14,$AM$14*($AK$14/Apoio!N33)))</f>
        <v/>
      </c>
      <c r="AJ66" s="13" t="str">
        <f>IF(AH66="","",AI66*Apoio!T17)</f>
        <v/>
      </c>
      <c r="AK66" s="25" t="str">
        <f t="shared" si="26"/>
        <v/>
      </c>
      <c r="AL66" s="14" t="str">
        <f t="shared" si="27"/>
        <v/>
      </c>
      <c r="AM66" s="14" t="str">
        <f>IF(AH66="","",AI66*Apoio!U17)</f>
        <v/>
      </c>
      <c r="AN66" s="14" t="str">
        <f t="shared" si="28"/>
        <v/>
      </c>
      <c r="AR66" s="49"/>
    </row>
    <row r="67" spans="2:44" x14ac:dyDescent="0.3">
      <c r="B67" s="1" t="str">
        <f>IF($E$9/$D$9&gt;Apoio!T8/Apoio!N72,Apoio!M72,"")</f>
        <v>GN + Biometano 50 %</v>
      </c>
      <c r="C67" s="12">
        <f>IF(B67="","",IF(B67=$C$9,$F$9,$F$9*($D$9/Apoio!N72)))</f>
        <v>18.823529411764707</v>
      </c>
      <c r="D67" s="13">
        <f>IF(B67="","",C67*Apoio!T8)</f>
        <v>0</v>
      </c>
      <c r="E67" s="25">
        <f t="shared" si="31"/>
        <v>4.0609440000000001</v>
      </c>
      <c r="F67" s="14">
        <f t="shared" si="32"/>
        <v>100</v>
      </c>
      <c r="G67" s="14">
        <f>IF(B67="","",C67*Apoio!U8)</f>
        <v>0.19361882352941176</v>
      </c>
      <c r="H67" s="14">
        <f t="shared" si="33"/>
        <v>1.3663811764705882</v>
      </c>
      <c r="AD67" s="43"/>
      <c r="AE67" s="43"/>
      <c r="AF67" s="43"/>
      <c r="AH67" s="1" t="str">
        <f>IF($AL$14/$AK$14&gt;Apoio!T18/Apoio!N34,Apoio!M34,"")</f>
        <v/>
      </c>
      <c r="AI67" s="12" t="str">
        <f>IF(AH67="","",IF(AH67=$AJ$14,$AM$14,$AM$14*($AK$14/Apoio!N34)))</f>
        <v/>
      </c>
      <c r="AJ67" s="13" t="str">
        <f>IF(AH67="","",AI67*Apoio!T18)</f>
        <v/>
      </c>
      <c r="AK67" s="25" t="str">
        <f t="shared" si="26"/>
        <v/>
      </c>
      <c r="AL67" s="14" t="str">
        <f t="shared" si="27"/>
        <v/>
      </c>
      <c r="AM67" s="14" t="str">
        <f>IF(AH67="","",AI67*Apoio!U18)</f>
        <v/>
      </c>
      <c r="AN67" s="14" t="str">
        <f t="shared" si="28"/>
        <v/>
      </c>
      <c r="AR67" s="49"/>
    </row>
    <row r="68" spans="2:44" x14ac:dyDescent="0.3">
      <c r="B68" s="1" t="str">
        <f>IF($E$9/$D$9&gt;Apoio!T11/Apoio!N73,Apoio!M73,"")</f>
        <v>Eletricidade</v>
      </c>
      <c r="C68" s="12">
        <f>IF(B68="","",IF(B68=$C$9,$F$9,$F$9*($D$9/Apoio!N73)))</f>
        <v>18.823529411764707</v>
      </c>
      <c r="D68" s="13">
        <f>IF(B68="","",C68*Apoio!T11)</f>
        <v>3.5420611764705883</v>
      </c>
      <c r="E68" s="25">
        <f t="shared" si="31"/>
        <v>0.51888282352941184</v>
      </c>
      <c r="F68" s="14">
        <f t="shared" si="32"/>
        <v>12.777394210050961</v>
      </c>
      <c r="G68" s="14">
        <f>IF(B68="","",C68*Apoio!U11)</f>
        <v>1.9011764705882355</v>
      </c>
      <c r="H68" s="14">
        <f t="shared" si="33"/>
        <v>-0.34117647058823541</v>
      </c>
      <c r="AD68" s="43"/>
      <c r="AE68" s="43"/>
      <c r="AF68" s="43"/>
      <c r="AR68" s="49"/>
    </row>
    <row r="69" spans="2:44" x14ac:dyDescent="0.3">
      <c r="B69" s="1" t="str">
        <f>IF($E$9/$D$9&gt;Apoio!T12/Apoio!N74,Apoio!M74,"")</f>
        <v>GN + H2  20 %</v>
      </c>
      <c r="C69" s="12">
        <f>IF(B69="","",IF(B69=$C$9,$F$9,$F$9*($D$9/Apoio!N74)))</f>
        <v>18.823529411764707</v>
      </c>
      <c r="D69" s="13">
        <f>IF(B69="","",C69*Apoio!T12)</f>
        <v>3.6943284705882355</v>
      </c>
      <c r="E69" s="25">
        <f t="shared" si="31"/>
        <v>0.36661552941176456</v>
      </c>
      <c r="F69" s="14">
        <f t="shared" si="32"/>
        <v>9.0278400640778251</v>
      </c>
      <c r="G69" s="14">
        <f>IF(B69="","",C69*Apoio!U12)</f>
        <v>1.6800000000000002</v>
      </c>
      <c r="H69" s="14">
        <f t="shared" si="33"/>
        <v>-0.12000000000000011</v>
      </c>
      <c r="AD69" s="43"/>
      <c r="AE69" s="43"/>
      <c r="AF69" s="43"/>
      <c r="AH69" s="29" t="s">
        <v>86</v>
      </c>
      <c r="AI69" s="71" t="str">
        <f>AH17&amp;" "&amp;AJ17</f>
        <v>Queimador (Dedicado a estufas ou banhos térmicos) Gás Natural</v>
      </c>
      <c r="AJ69" s="71"/>
      <c r="AK69" s="71"/>
      <c r="AL69" s="71"/>
      <c r="AM69" s="71"/>
      <c r="AN69" s="71"/>
      <c r="AR69" s="49"/>
    </row>
    <row r="70" spans="2:44" ht="15.6" x14ac:dyDescent="0.35">
      <c r="B70" s="1" t="str">
        <f>IF($E$9/$D$9&gt;Apoio!T10/Apoio!N75,Apoio!M75,"")</f>
        <v>GN + H2  10 %</v>
      </c>
      <c r="C70" s="12">
        <f>IF(B70="","",IF(B70=$C$9,$F$9,$F$9*($D$9/Apoio!N75)))</f>
        <v>18.823529411764707</v>
      </c>
      <c r="D70" s="13">
        <f>IF(B70="","",C70*Apoio!T10)</f>
        <v>2.8423529411764705</v>
      </c>
      <c r="E70" s="25">
        <f t="shared" si="31"/>
        <v>1.2185910588235296</v>
      </c>
      <c r="F70" s="14">
        <f t="shared" si="32"/>
        <v>30.0075809669754</v>
      </c>
      <c r="G70" s="14">
        <f>IF(B70="","",C70*Apoio!U10)</f>
        <v>2.3634823529411766</v>
      </c>
      <c r="H70" s="14">
        <f t="shared" si="33"/>
        <v>-0.80348235294117654</v>
      </c>
      <c r="AD70" s="43"/>
      <c r="AE70" s="43"/>
      <c r="AF70" s="43"/>
      <c r="AH70" s="29" t="s">
        <v>78</v>
      </c>
      <c r="AI70" s="40" t="s">
        <v>52</v>
      </c>
      <c r="AJ70" s="40" t="s">
        <v>53</v>
      </c>
      <c r="AK70" s="40" t="s">
        <v>79</v>
      </c>
      <c r="AL70" s="40" t="s">
        <v>80</v>
      </c>
      <c r="AM70" s="40" t="s">
        <v>81</v>
      </c>
      <c r="AN70" s="40" t="s">
        <v>82</v>
      </c>
      <c r="AR70" s="49"/>
    </row>
    <row r="71" spans="2:44" x14ac:dyDescent="0.3">
      <c r="B71" s="1" t="str">
        <f>IF($E$9/$D$9&gt;Apoio!T13/Apoio!N76,Apoio!M76,"")</f>
        <v>Gás Natural</v>
      </c>
      <c r="C71" s="12">
        <f>IF(B71="","",IF(B71=$C$9,$F$9,$F$9*($D$9/Apoio!N76)))</f>
        <v>20</v>
      </c>
      <c r="D71" s="13">
        <f>IF(B71="","",C71*Apoio!T13)</f>
        <v>4.0609440000000001</v>
      </c>
      <c r="E71" s="25">
        <f t="shared" si="31"/>
        <v>0</v>
      </c>
      <c r="F71" s="14">
        <f t="shared" si="32"/>
        <v>0</v>
      </c>
      <c r="G71" s="14">
        <f>IF(B71="","",C71*Apoio!U13)</f>
        <v>1.55</v>
      </c>
      <c r="H71" s="14">
        <f t="shared" si="33"/>
        <v>1.0000000000000009E-2</v>
      </c>
      <c r="AD71" s="43"/>
      <c r="AE71" s="43"/>
      <c r="AF71" s="43"/>
      <c r="AH71" s="1" t="str">
        <f>IF($AL$17/$AK$17&gt;Apoio!T6/Apoio!N69,Apoio!M69,"")</f>
        <v>Biometano</v>
      </c>
      <c r="AI71" s="12">
        <f>IF(AH71="","",IF(AH71=$AJ$17,$AM$17,$AM$17*($AK$17/Apoio!N69)))</f>
        <v>0</v>
      </c>
      <c r="AJ71" s="13">
        <f>IF(AH71="","",AI71*Apoio!T6)</f>
        <v>0</v>
      </c>
      <c r="AK71" s="25">
        <f>IF(AH71="","",$AN$17-AJ71)</f>
        <v>0</v>
      </c>
      <c r="AL71" s="14">
        <f>IF(AH71="","",(($AN$17-AJ71)/$G$9*100))</f>
        <v>0</v>
      </c>
      <c r="AM71" s="14">
        <f>IF(AH71="","",AI71*Apoio!U6)</f>
        <v>0</v>
      </c>
      <c r="AN71" s="14">
        <f>IF(AH71="","",$AP$17-AM71)</f>
        <v>0</v>
      </c>
      <c r="AR71" s="49"/>
    </row>
    <row r="72" spans="2:44" x14ac:dyDescent="0.3">
      <c r="B72" s="1" t="str">
        <f>IF($E$9/$D$9&gt;Apoio!T14/Apoio!N77,Apoio!M77,"")</f>
        <v/>
      </c>
      <c r="C72" s="12" t="str">
        <f>IF(B72="","",IF(B72=$C$9,$F$9,$F$9*($D$9/Apoio!N77)))</f>
        <v/>
      </c>
      <c r="D72" s="13" t="str">
        <f>IF(B72="","",C72*Apoio!T14)</f>
        <v/>
      </c>
      <c r="E72" s="25" t="str">
        <f t="shared" si="31"/>
        <v/>
      </c>
      <c r="F72" s="14" t="str">
        <f t="shared" si="32"/>
        <v/>
      </c>
      <c r="G72" s="14" t="str">
        <f>IF(B72="","",C72*Apoio!U14)</f>
        <v/>
      </c>
      <c r="H72" s="14" t="str">
        <f t="shared" si="33"/>
        <v/>
      </c>
      <c r="AD72" s="43"/>
      <c r="AE72" s="43"/>
      <c r="AF72" s="43"/>
      <c r="AH72" s="1" t="str">
        <f>IF($AL$17/$AK$17&gt;Apoio!T7/Apoio!N70,Apoio!M70,"")</f>
        <v>Hidrogénio</v>
      </c>
      <c r="AI72" s="12">
        <f>IF(AH72="","",IF(AH72=$AJ$17,$AM$17,$AM$17*($AK$17/Apoio!N70)))</f>
        <v>0</v>
      </c>
      <c r="AJ72" s="13">
        <f>IF(AH72="","",AI72*Apoio!T7)</f>
        <v>0</v>
      </c>
      <c r="AK72" s="25">
        <f t="shared" ref="AK72:AK83" si="34">IF(AH72="","",$AN$17-AJ72)</f>
        <v>0</v>
      </c>
      <c r="AL72" s="14">
        <f t="shared" ref="AL72:AL83" si="35">IF(AH72="","",(($AN$17-AJ72)/$G$9*100))</f>
        <v>0</v>
      </c>
      <c r="AM72" s="14">
        <f>IF(AH72="","",AI72*Apoio!U7)</f>
        <v>0</v>
      </c>
      <c r="AN72" s="14">
        <f t="shared" ref="AN72:AN83" si="36">IF(AH72="","",$AP$17-AM72)</f>
        <v>0</v>
      </c>
      <c r="AR72" s="49"/>
    </row>
    <row r="73" spans="2:44" x14ac:dyDescent="0.3">
      <c r="B73" s="1" t="str">
        <f>IF($E$9/$D$9&gt;Apoio!T15/Apoio!N78,Apoio!M78,"")</f>
        <v/>
      </c>
      <c r="C73" s="12" t="str">
        <f>IF(B73="","",IF(B73=$C$9,$F$9,$F$9*($D$9/Apoio!N78)))</f>
        <v/>
      </c>
      <c r="D73" s="13" t="str">
        <f>IF(B73="","",C73*Apoio!T15)</f>
        <v/>
      </c>
      <c r="E73" s="25" t="str">
        <f t="shared" si="31"/>
        <v/>
      </c>
      <c r="F73" s="14" t="str">
        <f t="shared" si="32"/>
        <v/>
      </c>
      <c r="G73" s="14" t="str">
        <f>IF(B73="","",C73*Apoio!U15)</f>
        <v/>
      </c>
      <c r="H73" s="14" t="str">
        <f t="shared" si="33"/>
        <v/>
      </c>
      <c r="AD73" s="43"/>
      <c r="AE73" s="43"/>
      <c r="AF73" s="43"/>
      <c r="AH73" s="1" t="str">
        <f>IF($AL$17/$AK$17&gt;Apoio!T9/Apoio!N71,Apoio!M71,"")</f>
        <v>Biomassa</v>
      </c>
      <c r="AI73" s="12">
        <f>IF(AH73="","",IF(AH73=$AJ$17,$AM$17,$AM$17*($AK$17/Apoio!N71)))</f>
        <v>0</v>
      </c>
      <c r="AJ73" s="13">
        <f>IF(AH73="","",AI73*Apoio!T9)</f>
        <v>0</v>
      </c>
      <c r="AK73" s="25">
        <f t="shared" si="34"/>
        <v>0</v>
      </c>
      <c r="AL73" s="14">
        <f t="shared" si="35"/>
        <v>0</v>
      </c>
      <c r="AM73" s="14">
        <f>IF(AH73="","",AI73*Apoio!U9)</f>
        <v>0</v>
      </c>
      <c r="AN73" s="14">
        <f t="shared" si="36"/>
        <v>0</v>
      </c>
      <c r="AR73" s="49"/>
    </row>
    <row r="74" spans="2:44" x14ac:dyDescent="0.3">
      <c r="B74" s="1" t="str">
        <f>IF($E$9/$D$9&gt;Apoio!T16/Apoio!N79,Apoio!M79,"")</f>
        <v/>
      </c>
      <c r="C74" s="12" t="str">
        <f>IF(B74="","",IF(B74=$C$9,$F$9,$F$9*($D$9/Apoio!N79)))</f>
        <v/>
      </c>
      <c r="D74" s="13" t="str">
        <f>IF(B74="","",C74*Apoio!T16)</f>
        <v/>
      </c>
      <c r="E74" s="25" t="str">
        <f t="shared" si="31"/>
        <v/>
      </c>
      <c r="F74" s="14" t="str">
        <f t="shared" si="32"/>
        <v/>
      </c>
      <c r="G74" s="14" t="str">
        <f>IF(B74="","",C74*Apoio!U16)</f>
        <v/>
      </c>
      <c r="H74" s="14" t="str">
        <f t="shared" si="33"/>
        <v/>
      </c>
      <c r="AD74" s="43"/>
      <c r="AE74" s="43"/>
      <c r="AF74" s="43"/>
      <c r="AH74" s="1" t="str">
        <f>IF($AL$17/$AK$17&gt;Apoio!T8/Apoio!N72,Apoio!M72,"")</f>
        <v>GN + Biometano 50 %</v>
      </c>
      <c r="AI74" s="12">
        <f>IF(AH74="","",IF(AH74=$AJ$17,$AM$17,$AM$17*($AK$17/Apoio!N72)))</f>
        <v>0</v>
      </c>
      <c r="AJ74" s="13">
        <f>IF(AH74="","",AI74*Apoio!T8)</f>
        <v>0</v>
      </c>
      <c r="AK74" s="25">
        <f t="shared" si="34"/>
        <v>0</v>
      </c>
      <c r="AL74" s="14">
        <f t="shared" si="35"/>
        <v>0</v>
      </c>
      <c r="AM74" s="14">
        <f>IF(AH74="","",AI74*Apoio!U8)</f>
        <v>0</v>
      </c>
      <c r="AN74" s="14">
        <f t="shared" si="36"/>
        <v>0</v>
      </c>
      <c r="AR74" s="49"/>
    </row>
    <row r="75" spans="2:44" x14ac:dyDescent="0.3">
      <c r="B75" s="1" t="str">
        <f>IF($E$9/$D$9&gt;Apoio!T17/Apoio!N80,Apoio!M80,"")</f>
        <v/>
      </c>
      <c r="C75" s="12" t="str">
        <f>IF(B75="","",IF(B75=$C$9,$F$9,$F$9*($D$9/Apoio!N80)))</f>
        <v/>
      </c>
      <c r="D75" s="13" t="str">
        <f>IF(B75="","",C75*Apoio!T17)</f>
        <v/>
      </c>
      <c r="E75" s="25" t="str">
        <f t="shared" si="31"/>
        <v/>
      </c>
      <c r="F75" s="14" t="str">
        <f t="shared" si="32"/>
        <v/>
      </c>
      <c r="G75" s="14" t="str">
        <f>IF(B75="","",C75*Apoio!U17)</f>
        <v/>
      </c>
      <c r="H75" s="14" t="str">
        <f t="shared" si="33"/>
        <v/>
      </c>
      <c r="AD75" s="43"/>
      <c r="AE75" s="43"/>
      <c r="AF75" s="43"/>
      <c r="AH75" s="1" t="str">
        <f>IF($AL$17/$AK$17&gt;Apoio!T11/Apoio!N73,Apoio!M73,"")</f>
        <v>Eletricidade</v>
      </c>
      <c r="AI75" s="12">
        <f>IF(AH75="","",IF(AH75=$AJ$17,$AM$17,$AM$17*($AK$17/Apoio!N73)))</f>
        <v>0</v>
      </c>
      <c r="AJ75" s="13">
        <f>IF(AH75="","",AI75*Apoio!T11)</f>
        <v>0</v>
      </c>
      <c r="AK75" s="25">
        <f t="shared" si="34"/>
        <v>0</v>
      </c>
      <c r="AL75" s="14">
        <f t="shared" si="35"/>
        <v>0</v>
      </c>
      <c r="AM75" s="14">
        <f>IF(AH75="","",AI75*Apoio!U11)</f>
        <v>0</v>
      </c>
      <c r="AN75" s="14">
        <f t="shared" si="36"/>
        <v>0</v>
      </c>
      <c r="AR75" s="49"/>
    </row>
    <row r="76" spans="2:44" x14ac:dyDescent="0.3">
      <c r="B76" s="1" t="str">
        <f>IF($E$9/$D$9&gt;Apoio!T18/Apoio!N81,Apoio!M81,"")</f>
        <v/>
      </c>
      <c r="C76" s="12" t="str">
        <f>IF(B76="","",IF(B76=$C$9,$F$9,$F$9*($D$9/Apoio!N81)))</f>
        <v/>
      </c>
      <c r="D76" s="13" t="str">
        <f>IF(B76="","",C76*Apoio!T18)</f>
        <v/>
      </c>
      <c r="E76" s="25" t="str">
        <f t="shared" si="31"/>
        <v/>
      </c>
      <c r="F76" s="14" t="str">
        <f t="shared" si="32"/>
        <v/>
      </c>
      <c r="G76" s="14" t="str">
        <f>IF(B76="","",C76*Apoio!U18)</f>
        <v/>
      </c>
      <c r="H76" s="14" t="str">
        <f t="shared" si="33"/>
        <v/>
      </c>
      <c r="AD76" s="43"/>
      <c r="AE76" s="43"/>
      <c r="AF76" s="43"/>
      <c r="AH76" s="1" t="str">
        <f>IF($AL$17/$AK$17&gt;Apoio!T12/Apoio!N74,Apoio!M74,"")</f>
        <v>GN + H2  20 %</v>
      </c>
      <c r="AI76" s="12">
        <f>IF(AH76="","",IF(AH76=$AJ$17,$AM$17,$AM$17*($AK$17/Apoio!N74)))</f>
        <v>0</v>
      </c>
      <c r="AJ76" s="13">
        <f>IF(AH76="","",AI76*Apoio!T12)</f>
        <v>0</v>
      </c>
      <c r="AK76" s="25">
        <f t="shared" si="34"/>
        <v>0</v>
      </c>
      <c r="AL76" s="14">
        <f t="shared" si="35"/>
        <v>0</v>
      </c>
      <c r="AM76" s="14">
        <f>IF(AH76="","",AI76*Apoio!U12)</f>
        <v>0</v>
      </c>
      <c r="AN76" s="14">
        <f t="shared" si="36"/>
        <v>0</v>
      </c>
      <c r="AR76" s="49"/>
    </row>
    <row r="77" spans="2:44" x14ac:dyDescent="0.3">
      <c r="AD77" s="43"/>
      <c r="AE77" s="43"/>
      <c r="AF77" s="43"/>
      <c r="AH77" s="1" t="str">
        <f>IF($AL$17/$AK$17&gt;Apoio!T10/Apoio!N75,Apoio!M75,"")</f>
        <v>GN + H2  10 %</v>
      </c>
      <c r="AI77" s="12">
        <f>IF(AH77="","",IF(AH77=$AJ$17,$AM$17,$AM$17*($AK$17/Apoio!N75)))</f>
        <v>0</v>
      </c>
      <c r="AJ77" s="13">
        <f>IF(AH77="","",AI77*Apoio!T10)</f>
        <v>0</v>
      </c>
      <c r="AK77" s="25">
        <f t="shared" si="34"/>
        <v>0</v>
      </c>
      <c r="AL77" s="14">
        <f t="shared" si="35"/>
        <v>0</v>
      </c>
      <c r="AM77" s="14">
        <f>IF(AH77="","",AI77*Apoio!U10)</f>
        <v>0</v>
      </c>
      <c r="AN77" s="14">
        <f t="shared" si="36"/>
        <v>0</v>
      </c>
      <c r="AR77" s="49"/>
    </row>
    <row r="78" spans="2:44" x14ac:dyDescent="0.3">
      <c r="AD78" s="43"/>
      <c r="AE78" s="43"/>
      <c r="AF78" s="43"/>
      <c r="AH78" s="1" t="str">
        <f>IF($AL$17/$AK$17&gt;Apoio!T13/Apoio!N76,Apoio!M76,"")</f>
        <v>Gás Natural</v>
      </c>
      <c r="AI78" s="12">
        <f>IF(AH78="","",IF(AH78=$AJ$17,$AM$17,$AM$17*($AK$17/Apoio!N76)))</f>
        <v>0</v>
      </c>
      <c r="AJ78" s="13">
        <f>IF(AH78="","",AI78*Apoio!T13)</f>
        <v>0</v>
      </c>
      <c r="AK78" s="25">
        <f t="shared" si="34"/>
        <v>0</v>
      </c>
      <c r="AL78" s="14">
        <f t="shared" si="35"/>
        <v>0</v>
      </c>
      <c r="AM78" s="14">
        <f>IF(AH78="","",AI78*Apoio!U13)</f>
        <v>0</v>
      </c>
      <c r="AN78" s="14">
        <f t="shared" si="36"/>
        <v>0</v>
      </c>
      <c r="AR78" s="49"/>
    </row>
    <row r="79" spans="2:44" x14ac:dyDescent="0.3">
      <c r="AD79" s="43"/>
      <c r="AE79" s="43"/>
      <c r="AF79" s="43"/>
      <c r="AH79" s="1" t="str">
        <f>IF($AL$17/$AK$17&gt;Apoio!T14/Apoio!N77,Apoio!M77,"")</f>
        <v/>
      </c>
      <c r="AI79" s="12" t="str">
        <f>IF(AH79="","",IF(AH79=$AJ$17,$AM$17,$AM$17*($AK$17/Apoio!N77)))</f>
        <v/>
      </c>
      <c r="AJ79" s="13" t="str">
        <f>IF(AH79="","",AI79*Apoio!T14)</f>
        <v/>
      </c>
      <c r="AK79" s="25" t="str">
        <f t="shared" si="34"/>
        <v/>
      </c>
      <c r="AL79" s="14" t="str">
        <f t="shared" si="35"/>
        <v/>
      </c>
      <c r="AM79" s="14" t="str">
        <f>IF(AH79="","",AI79*Apoio!U14)</f>
        <v/>
      </c>
      <c r="AN79" s="14" t="str">
        <f t="shared" si="36"/>
        <v/>
      </c>
      <c r="AR79" s="49"/>
    </row>
    <row r="80" spans="2:44" x14ac:dyDescent="0.3">
      <c r="AD80" s="43"/>
      <c r="AE80" s="43"/>
      <c r="AF80" s="43"/>
      <c r="AH80" s="1" t="str">
        <f>IF($AL$17/$AK$17&gt;Apoio!T15/Apoio!N78,Apoio!M78,"")</f>
        <v/>
      </c>
      <c r="AI80" s="12" t="str">
        <f>IF(AH80="","",IF(AH80=$AJ$17,$AM$17,$AM$17*($AK$17/Apoio!N78)))</f>
        <v/>
      </c>
      <c r="AJ80" s="13" t="str">
        <f>IF(AH80="","",AI80*Apoio!T15)</f>
        <v/>
      </c>
      <c r="AK80" s="25" t="str">
        <f t="shared" si="34"/>
        <v/>
      </c>
      <c r="AL80" s="14" t="str">
        <f t="shared" si="35"/>
        <v/>
      </c>
      <c r="AM80" s="14" t="str">
        <f>IF(AH80="","",AI80*Apoio!U15)</f>
        <v/>
      </c>
      <c r="AN80" s="14" t="str">
        <f t="shared" si="36"/>
        <v/>
      </c>
      <c r="AR80" s="49"/>
    </row>
    <row r="81" spans="30:44" x14ac:dyDescent="0.3">
      <c r="AD81" s="43"/>
      <c r="AE81" s="43"/>
      <c r="AF81" s="43"/>
      <c r="AH81" s="1" t="str">
        <f>IF($AL$17/$AK$17&gt;Apoio!T16/Apoio!N79,Apoio!M79,"")</f>
        <v/>
      </c>
      <c r="AI81" s="12" t="str">
        <f>IF(AH81="","",IF(AH81=$AJ$17,$AM$17,$AM$17*($AK$17/Apoio!N79)))</f>
        <v/>
      </c>
      <c r="AJ81" s="13" t="str">
        <f>IF(AH81="","",AI81*Apoio!T16)</f>
        <v/>
      </c>
      <c r="AK81" s="25" t="str">
        <f t="shared" si="34"/>
        <v/>
      </c>
      <c r="AL81" s="14" t="str">
        <f t="shared" si="35"/>
        <v/>
      </c>
      <c r="AM81" s="14" t="str">
        <f>IF(AH81="","",AI81*Apoio!U16)</f>
        <v/>
      </c>
      <c r="AN81" s="14" t="str">
        <f t="shared" si="36"/>
        <v/>
      </c>
      <c r="AR81" s="49"/>
    </row>
    <row r="82" spans="30:44" x14ac:dyDescent="0.3">
      <c r="AD82" s="43"/>
      <c r="AE82" s="43"/>
      <c r="AF82" s="43"/>
      <c r="AH82" s="1" t="str">
        <f>IF($AL$17/$AK$17&gt;Apoio!T17/Apoio!N80,Apoio!M80,"")</f>
        <v/>
      </c>
      <c r="AI82" s="12" t="str">
        <f>IF(AH82="","",IF(AH82=$AJ$17,$AM$17,$AM$17*($AK$17/Apoio!N80)))</f>
        <v/>
      </c>
      <c r="AJ82" s="13" t="str">
        <f>IF(AH82="","",AI82*Apoio!T17)</f>
        <v/>
      </c>
      <c r="AK82" s="25" t="str">
        <f t="shared" si="34"/>
        <v/>
      </c>
      <c r="AL82" s="14" t="str">
        <f t="shared" si="35"/>
        <v/>
      </c>
      <c r="AM82" s="14" t="str">
        <f>IF(AH82="","",AI82*Apoio!U17)</f>
        <v/>
      </c>
      <c r="AN82" s="14" t="str">
        <f t="shared" si="36"/>
        <v/>
      </c>
      <c r="AR82" s="49"/>
    </row>
    <row r="83" spans="30:44" x14ac:dyDescent="0.3">
      <c r="AD83" s="43"/>
      <c r="AE83" s="43"/>
      <c r="AF83" s="43"/>
      <c r="AH83" s="1" t="str">
        <f>IF($AL$17/$AK$17&gt;Apoio!T18/Apoio!N81,Apoio!M81,"")</f>
        <v/>
      </c>
      <c r="AI83" s="12" t="str">
        <f>IF(AH83="","",IF(AH83=$AJ$17,$AM$17,$AM$17*($AK$17/Apoio!N81)))</f>
        <v/>
      </c>
      <c r="AJ83" s="13" t="str">
        <f>IF(AH83="","",AI83*Apoio!T18)</f>
        <v/>
      </c>
      <c r="AK83" s="25" t="str">
        <f t="shared" si="34"/>
        <v/>
      </c>
      <c r="AL83" s="14" t="str">
        <f t="shared" si="35"/>
        <v/>
      </c>
      <c r="AM83" s="14" t="str">
        <f>IF(AH83="","",AI83*Apoio!U18)</f>
        <v/>
      </c>
      <c r="AN83" s="14" t="str">
        <f t="shared" si="36"/>
        <v/>
      </c>
      <c r="AR83" s="49"/>
    </row>
    <row r="84" spans="30:44" x14ac:dyDescent="0.3">
      <c r="AD84" s="43"/>
      <c r="AE84" s="43"/>
      <c r="AF84" s="43"/>
      <c r="AR84" s="49"/>
    </row>
    <row r="85" spans="30:44" x14ac:dyDescent="0.3">
      <c r="AD85" s="43"/>
      <c r="AE85" s="43"/>
      <c r="AF85" s="43"/>
      <c r="AR85" s="49"/>
    </row>
    <row r="86" spans="30:44" x14ac:dyDescent="0.3">
      <c r="AD86" s="43"/>
      <c r="AE86" s="43"/>
      <c r="AF86" s="43"/>
      <c r="AR86" s="49"/>
    </row>
    <row r="87" spans="30:44" x14ac:dyDescent="0.3">
      <c r="AD87" s="43"/>
      <c r="AE87" s="43"/>
      <c r="AF87" s="43"/>
      <c r="AR87" s="49"/>
    </row>
    <row r="88" spans="30:44" x14ac:dyDescent="0.3">
      <c r="AD88" s="43"/>
      <c r="AE88" s="43"/>
      <c r="AF88" s="43"/>
      <c r="AR88" s="49"/>
    </row>
    <row r="89" spans="30:44" x14ac:dyDescent="0.3">
      <c r="AD89" s="43"/>
      <c r="AE89" s="43"/>
      <c r="AF89" s="43"/>
      <c r="AR89" s="49"/>
    </row>
    <row r="90" spans="30:44" x14ac:dyDescent="0.3">
      <c r="AD90" s="43"/>
      <c r="AE90" s="43"/>
      <c r="AF90" s="43"/>
      <c r="AR90" s="49"/>
    </row>
    <row r="91" spans="30:44" x14ac:dyDescent="0.3">
      <c r="AD91" s="43"/>
      <c r="AE91" s="43"/>
      <c r="AF91" s="43"/>
      <c r="AR91" s="49"/>
    </row>
    <row r="92" spans="30:44" x14ac:dyDescent="0.3">
      <c r="AD92" s="43"/>
      <c r="AE92" s="43"/>
      <c r="AF92" s="43"/>
      <c r="AR92" s="49"/>
    </row>
    <row r="93" spans="30:44" x14ac:dyDescent="0.3">
      <c r="AD93" s="43"/>
      <c r="AE93" s="43"/>
      <c r="AF93" s="43"/>
      <c r="AR93" s="49"/>
    </row>
    <row r="94" spans="30:44" x14ac:dyDescent="0.3">
      <c r="AD94" s="43"/>
      <c r="AE94" s="43"/>
      <c r="AF94" s="43"/>
      <c r="AR94" s="49"/>
    </row>
    <row r="95" spans="30:44" x14ac:dyDescent="0.3">
      <c r="AD95" s="43"/>
      <c r="AE95" s="43"/>
      <c r="AF95" s="43"/>
      <c r="AR95" s="49"/>
    </row>
    <row r="96" spans="30:44" x14ac:dyDescent="0.3">
      <c r="AD96" s="43"/>
      <c r="AE96" s="43"/>
      <c r="AF96" s="43"/>
      <c r="AR96" s="49"/>
    </row>
    <row r="97" spans="30:44" x14ac:dyDescent="0.3">
      <c r="AD97" s="43"/>
      <c r="AE97" s="43"/>
      <c r="AF97" s="43"/>
      <c r="AR97" s="49"/>
    </row>
    <row r="98" spans="30:44" x14ac:dyDescent="0.3">
      <c r="AD98" s="43"/>
      <c r="AE98" s="43"/>
      <c r="AF98" s="43"/>
      <c r="AR98" s="49"/>
    </row>
    <row r="99" spans="30:44" x14ac:dyDescent="0.3">
      <c r="AD99" s="43"/>
      <c r="AE99" s="43"/>
      <c r="AF99" s="43"/>
      <c r="AR99" s="49"/>
    </row>
    <row r="100" spans="30:44" x14ac:dyDescent="0.3">
      <c r="AD100" s="43"/>
      <c r="AE100" s="43"/>
      <c r="AF100" s="43"/>
      <c r="AR100" s="49"/>
    </row>
    <row r="101" spans="30:44" x14ac:dyDescent="0.3">
      <c r="AR101" s="49"/>
    </row>
    <row r="102" spans="30:44" x14ac:dyDescent="0.3">
      <c r="AR102" s="49"/>
    </row>
    <row r="103" spans="30:44" x14ac:dyDescent="0.3">
      <c r="AR103" s="49"/>
    </row>
    <row r="104" spans="30:44" x14ac:dyDescent="0.3">
      <c r="AR104" s="49"/>
    </row>
    <row r="105" spans="30:44" x14ac:dyDescent="0.3">
      <c r="AR105" s="49"/>
    </row>
    <row r="106" spans="30:44" x14ac:dyDescent="0.3">
      <c r="AR106" s="49"/>
    </row>
    <row r="107" spans="30:44" x14ac:dyDescent="0.3">
      <c r="AR107" s="49"/>
    </row>
    <row r="108" spans="30:44" x14ac:dyDescent="0.3">
      <c r="AR108" s="49"/>
    </row>
    <row r="109" spans="30:44" x14ac:dyDescent="0.3">
      <c r="AR109" s="49"/>
    </row>
    <row r="110" spans="30:44" x14ac:dyDescent="0.3">
      <c r="AR110" s="49"/>
    </row>
    <row r="111" spans="30:44" x14ac:dyDescent="0.3">
      <c r="AR111" s="49"/>
    </row>
    <row r="112" spans="30:44" x14ac:dyDescent="0.3">
      <c r="AR112" s="49"/>
    </row>
    <row r="113" spans="44:44" x14ac:dyDescent="0.3">
      <c r="AR113" s="49"/>
    </row>
    <row r="114" spans="44:44" x14ac:dyDescent="0.3">
      <c r="AR114" s="49"/>
    </row>
    <row r="115" spans="44:44" x14ac:dyDescent="0.3">
      <c r="AR115" s="49"/>
    </row>
    <row r="116" spans="44:44" x14ac:dyDescent="0.3">
      <c r="AR116" s="49"/>
    </row>
    <row r="117" spans="44:44" x14ac:dyDescent="0.3">
      <c r="AR117" s="49"/>
    </row>
    <row r="118" spans="44:44" x14ac:dyDescent="0.3">
      <c r="AR118" s="49"/>
    </row>
    <row r="119" spans="44:44" x14ac:dyDescent="0.3">
      <c r="AR119" s="49"/>
    </row>
    <row r="120" spans="44:44" x14ac:dyDescent="0.3">
      <c r="AR120" s="49"/>
    </row>
    <row r="121" spans="44:44" x14ac:dyDescent="0.3">
      <c r="AR121" s="49"/>
    </row>
    <row r="122" spans="44:44" x14ac:dyDescent="0.3">
      <c r="AR122" s="49"/>
    </row>
    <row r="123" spans="44:44" x14ac:dyDescent="0.3">
      <c r="AR123" s="49"/>
    </row>
    <row r="124" spans="44:44" x14ac:dyDescent="0.3">
      <c r="AR124" s="49"/>
    </row>
    <row r="125" spans="44:44" x14ac:dyDescent="0.3">
      <c r="AR125" s="49"/>
    </row>
    <row r="126" spans="44:44" x14ac:dyDescent="0.3">
      <c r="AR126" s="49"/>
    </row>
    <row r="127" spans="44:44" x14ac:dyDescent="0.3">
      <c r="AR127" s="49"/>
    </row>
    <row r="128" spans="44:44" x14ac:dyDescent="0.3">
      <c r="AR128" s="49"/>
    </row>
    <row r="129" spans="44:44" x14ac:dyDescent="0.3">
      <c r="AR129" s="49"/>
    </row>
    <row r="130" spans="44:44" x14ac:dyDescent="0.3">
      <c r="AR130" s="49"/>
    </row>
    <row r="131" spans="44:44" x14ac:dyDescent="0.3">
      <c r="AR131" s="49"/>
    </row>
    <row r="132" spans="44:44" x14ac:dyDescent="0.3">
      <c r="AR132" s="49"/>
    </row>
    <row r="133" spans="44:44" x14ac:dyDescent="0.3">
      <c r="AR133" s="49"/>
    </row>
    <row r="134" spans="44:44" x14ac:dyDescent="0.3">
      <c r="AR134" s="49"/>
    </row>
    <row r="135" spans="44:44" x14ac:dyDescent="0.3">
      <c r="AR135" s="49"/>
    </row>
    <row r="136" spans="44:44" x14ac:dyDescent="0.3">
      <c r="AR136" s="49"/>
    </row>
    <row r="137" spans="44:44" x14ac:dyDescent="0.3">
      <c r="AR137" s="49"/>
    </row>
    <row r="138" spans="44:44" x14ac:dyDescent="0.3">
      <c r="AR138" s="49"/>
    </row>
    <row r="139" spans="44:44" x14ac:dyDescent="0.3">
      <c r="AR139" s="49"/>
    </row>
    <row r="140" spans="44:44" x14ac:dyDescent="0.3">
      <c r="AR140" s="49"/>
    </row>
    <row r="141" spans="44:44" x14ac:dyDescent="0.3">
      <c r="AR141" s="49"/>
    </row>
  </sheetData>
  <mergeCells count="21">
    <mergeCell ref="C62:H62"/>
    <mergeCell ref="C46:H46"/>
    <mergeCell ref="C30:H30"/>
    <mergeCell ref="M4:AA4"/>
    <mergeCell ref="B2:AA3"/>
    <mergeCell ref="B10:I10"/>
    <mergeCell ref="M15:W15"/>
    <mergeCell ref="B4:I4"/>
    <mergeCell ref="C13:H13"/>
    <mergeCell ref="B11:H12"/>
    <mergeCell ref="AH2:BE3"/>
    <mergeCell ref="AH4:AO4"/>
    <mergeCell ref="AS4:BE4"/>
    <mergeCell ref="AH18:AO18"/>
    <mergeCell ref="AS31:BB31"/>
    <mergeCell ref="AH9:AK9"/>
    <mergeCell ref="AI37:AN37"/>
    <mergeCell ref="AI53:AN53"/>
    <mergeCell ref="AI69:AN69"/>
    <mergeCell ref="AH19:AN20"/>
    <mergeCell ref="AI21:AN2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081D-8AF0-4D98-9E08-F5736A84D3FF}">
  <dimension ref="B2:AN47"/>
  <sheetViews>
    <sheetView zoomScale="85" zoomScaleNormal="85" workbookViewId="0">
      <selection activeCell="E8" sqref="E8"/>
    </sheetView>
  </sheetViews>
  <sheetFormatPr defaultRowHeight="14.4" x14ac:dyDescent="0.3"/>
  <cols>
    <col min="2" max="2" width="6.88671875" bestFit="1" customWidth="1"/>
    <col min="3" max="3" width="19.44140625" bestFit="1" customWidth="1"/>
    <col min="4" max="4" width="21.6640625" bestFit="1" customWidth="1"/>
    <col min="5" max="5" width="18.88671875" bestFit="1" customWidth="1"/>
    <col min="6" max="6" width="25.33203125" customWidth="1"/>
    <col min="24" max="24" width="6.88671875" bestFit="1" customWidth="1"/>
    <col min="25" max="25" width="20.33203125" bestFit="1" customWidth="1"/>
    <col min="26" max="26" width="21.33203125" bestFit="1" customWidth="1"/>
    <col min="27" max="27" width="18.5546875" customWidth="1"/>
    <col min="28" max="28" width="15.88671875" customWidth="1"/>
  </cols>
  <sheetData>
    <row r="2" spans="2:40" ht="18" x14ac:dyDescent="0.35">
      <c r="B2" s="80" t="s">
        <v>87</v>
      </c>
      <c r="C2" s="80"/>
      <c r="D2" s="80"/>
      <c r="E2" s="80"/>
      <c r="F2" s="80"/>
      <c r="G2" s="80"/>
      <c r="H2" s="80"/>
      <c r="I2" s="80"/>
      <c r="J2" s="80"/>
      <c r="T2" s="49"/>
      <c r="U2" s="49"/>
      <c r="V2" s="49"/>
      <c r="X2" s="80" t="s">
        <v>88</v>
      </c>
      <c r="Y2" s="80"/>
      <c r="Z2" s="80"/>
      <c r="AA2" s="80"/>
      <c r="AB2" s="80"/>
      <c r="AC2" s="80"/>
      <c r="AD2" s="80"/>
      <c r="AE2" s="80"/>
      <c r="AF2" s="80"/>
    </row>
    <row r="3" spans="2:40" x14ac:dyDescent="0.3">
      <c r="T3" s="49"/>
      <c r="U3" s="49"/>
      <c r="V3" s="49"/>
    </row>
    <row r="4" spans="2:40" x14ac:dyDescent="0.3">
      <c r="B4" s="68" t="s">
        <v>89</v>
      </c>
      <c r="C4" s="68"/>
      <c r="D4" s="68"/>
      <c r="E4" s="68"/>
      <c r="F4" s="68"/>
      <c r="T4" s="49"/>
      <c r="U4" s="49"/>
      <c r="V4" s="49"/>
      <c r="X4" s="68" t="s">
        <v>89</v>
      </c>
      <c r="Y4" s="68"/>
      <c r="Z4" s="68"/>
      <c r="AA4" s="68"/>
      <c r="AB4" s="68"/>
    </row>
    <row r="5" spans="2:40" ht="15.6" x14ac:dyDescent="0.3">
      <c r="B5" s="28"/>
      <c r="C5" s="29" t="s">
        <v>90</v>
      </c>
      <c r="D5" s="29" t="s">
        <v>91</v>
      </c>
      <c r="E5" s="29" t="s">
        <v>92</v>
      </c>
      <c r="F5" s="10"/>
      <c r="T5" s="49"/>
      <c r="U5" s="49"/>
      <c r="V5" s="49"/>
      <c r="X5" s="28"/>
      <c r="Y5" s="29" t="s">
        <v>90</v>
      </c>
      <c r="Z5" s="29" t="s">
        <v>91</v>
      </c>
      <c r="AA5" s="29" t="s">
        <v>92</v>
      </c>
      <c r="AB5" s="10"/>
    </row>
    <row r="6" spans="2:40" ht="14.4" customHeight="1" x14ac:dyDescent="0.3">
      <c r="C6" s="1" t="s">
        <v>93</v>
      </c>
      <c r="D6" s="26">
        <f>+SUM(Processamento!G6:G8)/1000</f>
        <v>236.298920544</v>
      </c>
      <c r="E6" s="1" t="s">
        <v>94</v>
      </c>
      <c r="O6" s="63"/>
      <c r="P6" s="63"/>
      <c r="Q6" s="63"/>
      <c r="T6" s="49"/>
      <c r="U6" s="49"/>
      <c r="V6" s="49"/>
      <c r="Y6" s="1" t="s">
        <v>93</v>
      </c>
      <c r="Z6" s="26">
        <f>+SUM(Processamento!AN14:AN17)/1000</f>
        <v>6.0914160000000006</v>
      </c>
      <c r="AA6" s="1" t="s">
        <v>94</v>
      </c>
    </row>
    <row r="7" spans="2:40" x14ac:dyDescent="0.3">
      <c r="C7" s="1" t="str">
        <f>+Processamento!B15</f>
        <v>Biometano</v>
      </c>
      <c r="D7" s="1">
        <f>+IF(C7="","",(SUMIF(Processamento!$B$15:$B$102,Outputs!C7,Processamento!$D$15:$D$102))/1000)</f>
        <v>39.600618304537818</v>
      </c>
      <c r="E7" s="27">
        <f>+IF(C7="","",($D$6-D7)/$D$6)</f>
        <v>0.83241303763313645</v>
      </c>
      <c r="N7" s="63"/>
      <c r="O7" s="63"/>
      <c r="P7" s="63"/>
      <c r="Q7" s="63"/>
      <c r="T7" s="49"/>
      <c r="U7" s="49"/>
      <c r="V7" s="49"/>
      <c r="Y7" s="1" t="str">
        <f>+Processamento!AH23</f>
        <v>Biometano</v>
      </c>
      <c r="Z7" s="1">
        <f>IF(Y7="","",SUMIF(Processamento!$AH$23:$AH$111,Y7,Processamento!$AJ$23:$AJ$111)/1000)</f>
        <v>1.1745196638655462</v>
      </c>
      <c r="AA7" s="27">
        <f>+IF(Y7="","",($Z$6-Z7)/$Z$6)</f>
        <v>0.8071844602526661</v>
      </c>
    </row>
    <row r="8" spans="2:40" x14ac:dyDescent="0.3">
      <c r="C8" s="1" t="str">
        <f>+Processamento!B16</f>
        <v>Hidrogénio</v>
      </c>
      <c r="D8" s="1">
        <f>+IF(C8="","",(SUMIF(Processamento!$B$15:$B$102,Outputs!C8,Processamento!$D$15:$D$102))/1000)</f>
        <v>0</v>
      </c>
      <c r="E8" s="27">
        <f t="shared" ref="E8:E18" si="0">+IF(C8="","",($D$6-D8)/$D$6)</f>
        <v>1</v>
      </c>
      <c r="N8" s="63"/>
      <c r="O8" s="63"/>
      <c r="P8" s="63"/>
      <c r="Q8" s="63"/>
      <c r="T8" s="49"/>
      <c r="U8" s="49"/>
      <c r="V8" s="49"/>
      <c r="Y8" s="1" t="str">
        <f>+Processamento!AH24</f>
        <v>Hidrogénio</v>
      </c>
      <c r="Z8" s="1">
        <f>IF(Y8="","",SUMIF(Processamento!$AH$23:$AH$111,Y8,Processamento!$AJ$23:$AJ$111)/1000)</f>
        <v>0</v>
      </c>
      <c r="AA8" s="27">
        <f t="shared" ref="AA8:AA18" si="1">+IF(Y8="","",($Z$6-Z8)/$Z$6)</f>
        <v>1</v>
      </c>
    </row>
    <row r="9" spans="2:40" x14ac:dyDescent="0.3">
      <c r="C9" s="1" t="str">
        <f>+Processamento!B17</f>
        <v>Biomassa</v>
      </c>
      <c r="D9" s="1">
        <f>+IF(C9="","",(SUMIF(Processamento!$B$15:$B$102,Outputs!C9,Processamento!$D$15:$D$102))/1000)</f>
        <v>2.0654682352941179E-3</v>
      </c>
      <c r="E9" s="27">
        <f t="shared" si="0"/>
        <v>0.99999125908730124</v>
      </c>
      <c r="N9" s="63"/>
      <c r="O9" s="63"/>
      <c r="P9" s="63"/>
      <c r="Q9" s="63"/>
      <c r="T9" s="49"/>
      <c r="U9" s="49"/>
      <c r="V9" s="49"/>
      <c r="Y9" s="1" t="str">
        <f>+Processamento!AH25</f>
        <v>Biomassa</v>
      </c>
      <c r="Z9" s="1">
        <f>IF(Y9="","",SUMIF(Processamento!$AH$23:$AH$111,Y9,Processamento!$AJ$23:$AJ$111)/1000)</f>
        <v>3.222264568372804</v>
      </c>
      <c r="AA9" s="27">
        <f t="shared" si="1"/>
        <v>0.47101551291640503</v>
      </c>
    </row>
    <row r="10" spans="2:40" x14ac:dyDescent="0.3">
      <c r="C10" s="1" t="str">
        <f>+Processamento!B18</f>
        <v>GN + Biometano 50 %</v>
      </c>
      <c r="D10" s="1">
        <f>+IF(C10="","",(SUMIF(Processamento!$B$15:$B$102,Outputs!C10,Processamento!$D$15:$D$102))/1000)</f>
        <v>108.64121499281895</v>
      </c>
      <c r="E10" s="27">
        <f t="shared" si="0"/>
        <v>0.54023820869469685</v>
      </c>
      <c r="N10" s="63"/>
      <c r="O10" s="63"/>
      <c r="P10" s="63"/>
      <c r="Q10" s="63"/>
      <c r="T10" s="49"/>
      <c r="U10" s="49"/>
      <c r="V10" s="49"/>
      <c r="Y10" s="1" t="str">
        <f>+Processamento!AH26</f>
        <v>GN + Biometano 50 %</v>
      </c>
      <c r="Z10" s="1">
        <f>IF(Y10="","",SUMIF(Processamento!$AH$23:$AH$111,Y10,Processamento!$AJ$23:$AJ$111)/1000)</f>
        <v>0</v>
      </c>
      <c r="AA10" s="27">
        <f t="shared" si="1"/>
        <v>1</v>
      </c>
    </row>
    <row r="11" spans="2:40" x14ac:dyDescent="0.3">
      <c r="C11" s="1" t="str">
        <f>+Processamento!B19</f>
        <v>Eletricidade</v>
      </c>
      <c r="D11" s="1">
        <f>+IF(C11="","",(SUMIF(Processamento!$B$15:$B$102,Outputs!C11,Processamento!$D$15:$D$102))/1000)</f>
        <v>124.10367867351304</v>
      </c>
      <c r="E11" s="27">
        <f t="shared" si="0"/>
        <v>0.47480217688762422</v>
      </c>
      <c r="N11" s="63"/>
      <c r="O11" s="63"/>
      <c r="P11" s="63"/>
      <c r="Q11" s="63"/>
      <c r="T11" s="49"/>
      <c r="U11" s="49"/>
      <c r="V11" s="49"/>
      <c r="Y11" s="1" t="str">
        <f>+Processamento!AH27</f>
        <v>Eletricidade</v>
      </c>
      <c r="Z11" s="1">
        <f>IF(Y11="","",SUMIF(Processamento!$AH$23:$AH$111,Y11,Processamento!$AJ$23:$AJ$111)/1000)</f>
        <v>2.2076044692737433</v>
      </c>
      <c r="AA11" s="27">
        <f t="shared" si="1"/>
        <v>0.63758763655712514</v>
      </c>
    </row>
    <row r="12" spans="2:40" ht="14.4" customHeight="1" x14ac:dyDescent="0.3">
      <c r="C12" s="1" t="str">
        <f>+Processamento!B20</f>
        <v>GN + H2  20 %</v>
      </c>
      <c r="D12" s="1">
        <f>+IF(C12="","",(SUMIF(Processamento!$B$15:$B$102,Outputs!C12,Processamento!$D$15:$D$102))/1000)</f>
        <v>186.31197213931858</v>
      </c>
      <c r="E12" s="27">
        <f t="shared" si="0"/>
        <v>0.21154116273406168</v>
      </c>
      <c r="N12" s="78" t="s">
        <v>95</v>
      </c>
      <c r="O12" s="78"/>
      <c r="P12" s="78"/>
      <c r="Q12" s="78"/>
      <c r="T12" s="49"/>
      <c r="U12" s="49"/>
      <c r="V12" s="49"/>
      <c r="Y12" s="1" t="str">
        <f>+Processamento!AH28</f>
        <v>GN + H2  20 %</v>
      </c>
      <c r="Z12" s="1">
        <f>IF(Y12="","",SUMIF(Processamento!$AH$23:$AH$111,Y12,Processamento!$AJ$23:$AJ$111)/1000)</f>
        <v>5.7633923055767751</v>
      </c>
      <c r="AA12" s="27">
        <f t="shared" si="1"/>
        <v>5.3850154778991535E-2</v>
      </c>
      <c r="AK12" s="78" t="s">
        <v>95</v>
      </c>
      <c r="AL12" s="78"/>
      <c r="AM12" s="78"/>
      <c r="AN12" s="78"/>
    </row>
    <row r="13" spans="2:40" x14ac:dyDescent="0.3">
      <c r="C13" s="1" t="str">
        <f>+Processamento!B21</f>
        <v>GN + H2  10 %</v>
      </c>
      <c r="D13" s="1">
        <f>+IF(C13="","",(SUMIF(Processamento!$B$15:$B$102,Outputs!C13,Processamento!$D$15:$D$102))/1000)</f>
        <v>194.32020185961801</v>
      </c>
      <c r="E13" s="27">
        <f t="shared" si="0"/>
        <v>0.17765091176777234</v>
      </c>
      <c r="N13" s="78"/>
      <c r="O13" s="78"/>
      <c r="P13" s="78"/>
      <c r="Q13" s="78"/>
      <c r="T13" s="49"/>
      <c r="U13" s="49"/>
      <c r="V13" s="49"/>
      <c r="Y13" s="1" t="str">
        <f>+Processamento!AH29</f>
        <v>GN + H2  10 %</v>
      </c>
      <c r="Z13" s="1">
        <f>IF(Y13="","",SUMIF(Processamento!$AH$23:$AH$111,Y13,Processamento!$AJ$23:$AJ$111)/1000)</f>
        <v>4.4342551566080974</v>
      </c>
      <c r="AA13" s="27">
        <f t="shared" si="1"/>
        <v>0.27204854230804515</v>
      </c>
      <c r="AK13" s="78"/>
      <c r="AL13" s="78"/>
      <c r="AM13" s="78"/>
      <c r="AN13" s="78"/>
    </row>
    <row r="14" spans="2:40" x14ac:dyDescent="0.3">
      <c r="C14" s="1" t="str">
        <f>+Processamento!B22</f>
        <v>Gás Natural</v>
      </c>
      <c r="D14" s="1">
        <f>+IF(C14="","",(SUMIF(Processamento!$B$15:$B$102,Outputs!C14,Processamento!$D$15:$D$102))/1000)</f>
        <v>202.40748188047058</v>
      </c>
      <c r="E14" s="27">
        <f t="shared" si="0"/>
        <v>0.1434261256272589</v>
      </c>
      <c r="N14" s="63"/>
      <c r="O14" s="63"/>
      <c r="P14" s="63"/>
      <c r="Q14" s="63"/>
      <c r="T14" s="49"/>
      <c r="U14" s="49"/>
      <c r="V14" s="49"/>
      <c r="Y14" s="1" t="str">
        <f>+Processamento!AH30</f>
        <v>Gás Natural</v>
      </c>
      <c r="Z14" s="1">
        <f>IF(Y14="","",SUMIF(Processamento!$AH$23:$AH$111,Y14,Processamento!$AJ$23:$AJ$111)/1000)</f>
        <v>3.5831858823529417</v>
      </c>
      <c r="AA14" s="27">
        <f t="shared" si="1"/>
        <v>0.41176470588235292</v>
      </c>
    </row>
    <row r="15" spans="2:40" x14ac:dyDescent="0.3">
      <c r="C15" s="1" t="str">
        <f>+Processamento!B23</f>
        <v/>
      </c>
      <c r="D15" s="1" t="str">
        <f>+IF(C15="","",(SUMIF(Processamento!$B$15:$B$102,Outputs!C15,Processamento!$D$15:$D$102))/1000)</f>
        <v/>
      </c>
      <c r="E15" s="27" t="str">
        <f t="shared" si="0"/>
        <v/>
      </c>
      <c r="N15" s="63"/>
      <c r="O15" s="63"/>
      <c r="P15" s="63"/>
      <c r="Q15" s="63"/>
      <c r="T15" s="49"/>
      <c r="U15" s="49"/>
      <c r="V15" s="49"/>
      <c r="Y15" s="1" t="str">
        <f>+Processamento!AH31</f>
        <v/>
      </c>
      <c r="Z15" s="1" t="str">
        <f>IF(Y15="","",SUMIF(Processamento!$AH$23:$AH$111,Y15,Processamento!$AJ$23:$AJ$111)/1000)</f>
        <v/>
      </c>
      <c r="AA15" s="27" t="str">
        <f t="shared" si="1"/>
        <v/>
      </c>
    </row>
    <row r="16" spans="2:40" x14ac:dyDescent="0.3">
      <c r="C16" s="1" t="str">
        <f>+Processamento!B24</f>
        <v/>
      </c>
      <c r="D16" s="1" t="str">
        <f>+IF(C16="","",(SUMIF(Processamento!$B$15:$B$102,Outputs!C16,Processamento!$D$15:$D$102))/1000)</f>
        <v/>
      </c>
      <c r="E16" s="27" t="str">
        <f t="shared" si="0"/>
        <v/>
      </c>
      <c r="T16" s="49"/>
      <c r="U16" s="49"/>
      <c r="V16" s="49"/>
      <c r="Y16" s="1" t="str">
        <f>+Processamento!AH32</f>
        <v/>
      </c>
      <c r="Z16" s="1" t="str">
        <f>IF(Y16="","",SUMIF(Processamento!$AH$23:$AH$111,Y16,Processamento!$AJ$23:$AJ$111)/1000)</f>
        <v/>
      </c>
      <c r="AA16" s="27" t="str">
        <f t="shared" si="1"/>
        <v/>
      </c>
    </row>
    <row r="17" spans="2:28" x14ac:dyDescent="0.3">
      <c r="C17" s="1" t="str">
        <f>+Processamento!B25</f>
        <v/>
      </c>
      <c r="D17" s="1" t="str">
        <f>+IF(C17="","",(SUMIF(Processamento!$B$15:$B$102,Outputs!C17,Processamento!$D$15:$D$102))/1000)</f>
        <v/>
      </c>
      <c r="E17" s="27" t="str">
        <f t="shared" si="0"/>
        <v/>
      </c>
      <c r="T17" s="49"/>
      <c r="U17" s="49"/>
      <c r="V17" s="49"/>
      <c r="Y17" s="1" t="str">
        <f>+Processamento!AH33</f>
        <v/>
      </c>
      <c r="Z17" s="1" t="str">
        <f>IF(Y17="","",SUMIF(Processamento!$AH$23:$AH$111,Y17,Processamento!$AJ$23:$AJ$111)/1000)</f>
        <v/>
      </c>
      <c r="AA17" s="27" t="str">
        <f t="shared" si="1"/>
        <v/>
      </c>
    </row>
    <row r="18" spans="2:28" x14ac:dyDescent="0.3">
      <c r="C18" s="1" t="str">
        <f>+Processamento!B26</f>
        <v/>
      </c>
      <c r="D18" s="1" t="str">
        <f>+IF(C18="","",(SUMIF(Processamento!$B$15:$B$102,Outputs!C18,Processamento!$D$15:$D$102))/1000)</f>
        <v/>
      </c>
      <c r="E18" s="27" t="str">
        <f t="shared" si="0"/>
        <v/>
      </c>
      <c r="T18" s="49"/>
      <c r="U18" s="49"/>
      <c r="V18" s="49"/>
      <c r="Y18" s="1" t="str">
        <f>+Processamento!AH34</f>
        <v/>
      </c>
      <c r="Z18" s="1" t="str">
        <f>IF(Y18="","",SUMIF(Processamento!$AH$23:$AH$111,Y18,Processamento!$AJ$23:$AJ$111)/1000)</f>
        <v/>
      </c>
      <c r="AA18" s="27" t="str">
        <f t="shared" si="1"/>
        <v/>
      </c>
    </row>
    <row r="19" spans="2:28" x14ac:dyDescent="0.3">
      <c r="T19" s="49"/>
      <c r="U19" s="49"/>
      <c r="V19" s="49"/>
    </row>
    <row r="20" spans="2:28" x14ac:dyDescent="0.3">
      <c r="T20" s="49"/>
      <c r="U20" s="49"/>
      <c r="V20" s="49"/>
    </row>
    <row r="21" spans="2:28" x14ac:dyDescent="0.3">
      <c r="T21" s="49"/>
      <c r="U21" s="49"/>
      <c r="V21" s="49"/>
    </row>
    <row r="22" spans="2:28" x14ac:dyDescent="0.3">
      <c r="T22" s="49"/>
      <c r="U22" s="49"/>
      <c r="V22" s="49"/>
    </row>
    <row r="23" spans="2:28" x14ac:dyDescent="0.3">
      <c r="T23" s="49"/>
      <c r="U23" s="49"/>
      <c r="V23" s="49"/>
    </row>
    <row r="24" spans="2:28" x14ac:dyDescent="0.3">
      <c r="T24" s="49"/>
      <c r="U24" s="49"/>
      <c r="V24" s="49"/>
    </row>
    <row r="25" spans="2:28" x14ac:dyDescent="0.3">
      <c r="T25" s="49"/>
      <c r="U25" s="49"/>
      <c r="V25" s="49"/>
    </row>
    <row r="26" spans="2:28" x14ac:dyDescent="0.3">
      <c r="T26" s="49"/>
      <c r="U26" s="49"/>
      <c r="V26" s="49"/>
    </row>
    <row r="27" spans="2:28" x14ac:dyDescent="0.3">
      <c r="T27" s="49"/>
      <c r="U27" s="49"/>
      <c r="V27" s="49"/>
    </row>
    <row r="28" spans="2:28" x14ac:dyDescent="0.3">
      <c r="T28" s="49"/>
      <c r="U28" s="49"/>
      <c r="V28" s="49"/>
    </row>
    <row r="29" spans="2:28" x14ac:dyDescent="0.3">
      <c r="T29" s="49"/>
      <c r="U29" s="49"/>
      <c r="V29" s="49"/>
    </row>
    <row r="30" spans="2:28" x14ac:dyDescent="0.3">
      <c r="B30" s="68" t="s">
        <v>96</v>
      </c>
      <c r="C30" s="68"/>
      <c r="D30" s="68"/>
      <c r="E30" s="68"/>
      <c r="F30" s="68"/>
      <c r="T30" s="49"/>
      <c r="U30" s="49"/>
      <c r="V30" s="49"/>
      <c r="X30" s="68" t="s">
        <v>96</v>
      </c>
      <c r="Y30" s="68"/>
      <c r="Z30" s="68"/>
      <c r="AA30" s="68"/>
      <c r="AB30" s="68"/>
    </row>
    <row r="31" spans="2:28" ht="14.4" customHeight="1" x14ac:dyDescent="0.3">
      <c r="C31" s="79" t="str">
        <f>"Através da recuperação de calor residual dos processos industriais térmicos apresentados poderia ser possível aproveitar até "&amp;ROUND(Processamento!Y15/1000,0)&amp;" MWh de energia, representando a redução de cerca de " &amp;ROUND(Processamento!AA15/1000,2)&amp;" toneladas de CO2. A potencial poupança económica associada à redução do consumo de energia poderia atingir os "&amp;ROUND(Processamento!AB15,0)&amp;" euros. (assumindo que esta energia poderia ser usada em equipamentos que usassem o mesmo vetor energético). Alerta-se para o facto de a aplicação desta medida dever ser sustentada por estudos para a avaliação da qualidade da energia residual existente."</f>
        <v>Através da recuperação de calor residual dos processos industriais térmicos apresentados poderia ser possível aproveitar até 278 MWh de energia, representando a redução de cerca de 61,68 toneladas de CO2. A potencial poupança económica associada à redução do consumo de energia poderia atingir os 28435 euros. (assumindo que esta energia poderia ser usada em equipamentos que usassem o mesmo vetor energético). Alerta-se para o facto de a aplicação desta medida dever ser sustentada por estudos para a avaliação da qualidade da energia residual existente.</v>
      </c>
      <c r="D31" s="79"/>
      <c r="E31" s="79"/>
      <c r="F31" s="79"/>
      <c r="T31" s="49"/>
      <c r="U31" s="49"/>
      <c r="V31" s="49"/>
      <c r="Y31" s="79" t="str">
        <f>"Através da recuperação de calor residual dos processos industriais térmicos apresentados poderia ser possível aproveitar até "&amp;ROUND(Processamento!BE16/1000,0)&amp;" MWh de energia a uma temperatura baixa (até 70 °C), representando a redução de cerca de " &amp;ROUND(Processamento!BG16/1000,2)&amp;" toneladas de CO2. A potencial poupança económica associada à redução do consumo de energia poderia atingir os "&amp;ROUND(Processamento!BH16,0)&amp;" euros (assumindo que esta energia poderia ser usada em equipamentos que usassem o mesmo vetor energético). Alerta-se para o facto de a aplicação desta medida dever ser sustentada por estudos para a avaliação da qualidade da energia residual existente."</f>
        <v>Através da recuperação de calor residual dos processos industriais térmicos apresentados poderia ser possível aproveitar até 61 MWh de energia a uma temperatura baixa (até 70 °C), representando a redução de cerca de 12,33 toneladas de CO2. A potencial poupança económica associada à redução do consumo de energia poderia atingir os 4706 euros (assumindo que esta energia poderia ser usada em equipamentos que usassem o mesmo vetor energético). Alerta-se para o facto de a aplicação desta medida dever ser sustentada por estudos para a avaliação da qualidade da energia residual existente.</v>
      </c>
      <c r="Z31" s="79"/>
      <c r="AA31" s="79"/>
      <c r="AB31" s="79"/>
    </row>
    <row r="32" spans="2:28" ht="14.4" customHeight="1" x14ac:dyDescent="0.3">
      <c r="C32" s="79"/>
      <c r="D32" s="79"/>
      <c r="E32" s="79"/>
      <c r="F32" s="79"/>
      <c r="T32" s="49"/>
      <c r="U32" s="49"/>
      <c r="V32" s="49"/>
      <c r="Y32" s="79"/>
      <c r="Z32" s="79"/>
      <c r="AA32" s="79"/>
      <c r="AB32" s="79"/>
    </row>
    <row r="33" spans="3:28" ht="14.4" customHeight="1" x14ac:dyDescent="0.3">
      <c r="C33" s="79"/>
      <c r="D33" s="79"/>
      <c r="E33" s="79"/>
      <c r="F33" s="79"/>
      <c r="T33" s="49"/>
      <c r="U33" s="49"/>
      <c r="V33" s="49"/>
      <c r="Y33" s="79"/>
      <c r="Z33" s="79"/>
      <c r="AA33" s="79"/>
      <c r="AB33" s="79"/>
    </row>
    <row r="34" spans="3:28" ht="14.4" customHeight="1" x14ac:dyDescent="0.3">
      <c r="C34" s="79"/>
      <c r="D34" s="79"/>
      <c r="E34" s="79"/>
      <c r="F34" s="79"/>
      <c r="T34" s="49"/>
      <c r="U34" s="49"/>
      <c r="V34" s="49"/>
      <c r="Y34" s="79"/>
      <c r="Z34" s="79"/>
      <c r="AA34" s="79"/>
      <c r="AB34" s="79"/>
    </row>
    <row r="35" spans="3:28" ht="14.4" customHeight="1" x14ac:dyDescent="0.3">
      <c r="C35" s="79"/>
      <c r="D35" s="79"/>
      <c r="E35" s="79"/>
      <c r="F35" s="79"/>
      <c r="T35" s="49"/>
      <c r="U35" s="49"/>
      <c r="V35" s="49"/>
      <c r="Y35" s="79"/>
      <c r="Z35" s="79"/>
      <c r="AA35" s="79"/>
      <c r="AB35" s="79"/>
    </row>
    <row r="36" spans="3:28" ht="13.95" customHeight="1" x14ac:dyDescent="0.3">
      <c r="C36" s="79"/>
      <c r="D36" s="79"/>
      <c r="E36" s="79"/>
      <c r="F36" s="79"/>
      <c r="T36" s="49"/>
      <c r="U36" s="49"/>
      <c r="V36" s="49"/>
      <c r="Y36" s="79"/>
      <c r="Z36" s="79"/>
      <c r="AA36" s="79"/>
      <c r="AB36" s="79"/>
    </row>
    <row r="37" spans="3:28" ht="14.4" customHeight="1" x14ac:dyDescent="0.3">
      <c r="C37" s="79"/>
      <c r="D37" s="79"/>
      <c r="E37" s="79"/>
      <c r="F37" s="79"/>
      <c r="T37" s="49"/>
      <c r="U37" s="49"/>
      <c r="V37" s="49"/>
      <c r="Y37" s="79"/>
      <c r="Z37" s="79"/>
      <c r="AA37" s="79"/>
      <c r="AB37" s="79"/>
    </row>
    <row r="38" spans="3:28" ht="14.4" customHeight="1" x14ac:dyDescent="0.3">
      <c r="C38" s="79"/>
      <c r="D38" s="79"/>
      <c r="E38" s="79"/>
      <c r="F38" s="79"/>
      <c r="T38" s="49"/>
      <c r="U38" s="49"/>
      <c r="V38" s="49"/>
      <c r="Y38" s="79"/>
      <c r="Z38" s="79"/>
      <c r="AA38" s="79"/>
      <c r="AB38" s="79"/>
    </row>
    <row r="39" spans="3:28" ht="14.4" customHeight="1" x14ac:dyDescent="0.3">
      <c r="C39" s="79"/>
      <c r="D39" s="79"/>
      <c r="E39" s="79"/>
      <c r="F39" s="79"/>
      <c r="T39" s="49"/>
      <c r="U39" s="49"/>
      <c r="V39" s="49"/>
      <c r="Y39" s="79"/>
      <c r="Z39" s="79"/>
      <c r="AA39" s="79"/>
      <c r="AB39" s="79"/>
    </row>
    <row r="40" spans="3:28" ht="14.4" customHeight="1" x14ac:dyDescent="0.3">
      <c r="C40" s="79"/>
      <c r="D40" s="79"/>
      <c r="E40" s="79"/>
      <c r="F40" s="79"/>
      <c r="T40" s="49"/>
      <c r="U40" s="49"/>
      <c r="V40" s="49"/>
      <c r="Y40" s="79"/>
      <c r="Z40" s="79"/>
      <c r="AA40" s="79"/>
      <c r="AB40" s="79"/>
    </row>
    <row r="41" spans="3:28" ht="14.4" customHeight="1" x14ac:dyDescent="0.3">
      <c r="C41" s="79"/>
      <c r="D41" s="79"/>
      <c r="E41" s="79"/>
      <c r="F41" s="79"/>
      <c r="T41" s="49"/>
      <c r="U41" s="49"/>
      <c r="V41" s="49"/>
      <c r="Y41" s="79"/>
      <c r="Z41" s="79"/>
      <c r="AA41" s="79"/>
      <c r="AB41" s="79"/>
    </row>
    <row r="42" spans="3:28" x14ac:dyDescent="0.3">
      <c r="C42" s="79"/>
      <c r="D42" s="79"/>
      <c r="E42" s="79"/>
      <c r="F42" s="79"/>
      <c r="T42" s="49"/>
      <c r="U42" s="49"/>
      <c r="V42" s="49"/>
      <c r="Y42" s="79"/>
      <c r="Z42" s="79"/>
      <c r="AA42" s="79"/>
      <c r="AB42" s="79"/>
    </row>
    <row r="43" spans="3:28" x14ac:dyDescent="0.3">
      <c r="T43" s="49"/>
      <c r="U43" s="49"/>
      <c r="V43" s="49"/>
      <c r="Y43" s="79"/>
      <c r="Z43" s="79"/>
      <c r="AA43" s="79"/>
      <c r="AB43" s="79"/>
    </row>
    <row r="44" spans="3:28" x14ac:dyDescent="0.3">
      <c r="T44" s="49"/>
      <c r="U44" s="49"/>
      <c r="V44" s="49"/>
      <c r="Y44" s="79"/>
      <c r="Z44" s="79"/>
      <c r="AA44" s="79"/>
      <c r="AB44" s="79"/>
    </row>
    <row r="45" spans="3:28" x14ac:dyDescent="0.3">
      <c r="T45" s="49"/>
      <c r="U45" s="49"/>
      <c r="V45" s="49"/>
    </row>
    <row r="46" spans="3:28" x14ac:dyDescent="0.3">
      <c r="T46" s="49"/>
      <c r="U46" s="49"/>
      <c r="V46" s="49"/>
    </row>
    <row r="47" spans="3:28" x14ac:dyDescent="0.3">
      <c r="T47" s="49"/>
      <c r="U47" s="49"/>
      <c r="V47" s="49"/>
    </row>
  </sheetData>
  <mergeCells count="10">
    <mergeCell ref="AK12:AN13"/>
    <mergeCell ref="C31:F42"/>
    <mergeCell ref="Y31:AB44"/>
    <mergeCell ref="B2:J2"/>
    <mergeCell ref="B4:F4"/>
    <mergeCell ref="B30:F30"/>
    <mergeCell ref="X2:AF2"/>
    <mergeCell ref="X4:AB4"/>
    <mergeCell ref="X30:AB30"/>
    <mergeCell ref="N12:Q1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D209-26DC-45D9-88D7-D5DDE182400F}">
  <dimension ref="B1:U82"/>
  <sheetViews>
    <sheetView topLeftCell="L52" zoomScale="85" zoomScaleNormal="85" workbookViewId="0">
      <selection activeCell="U7" sqref="U7"/>
    </sheetView>
  </sheetViews>
  <sheetFormatPr defaultRowHeight="14.4" x14ac:dyDescent="0.3"/>
  <cols>
    <col min="2" max="2" width="50" bestFit="1" customWidth="1"/>
    <col min="3" max="3" width="4.44140625" bestFit="1" customWidth="1"/>
    <col min="4" max="4" width="19.44140625" bestFit="1" customWidth="1"/>
    <col min="5" max="5" width="21.33203125" bestFit="1" customWidth="1"/>
    <col min="6" max="6" width="19.44140625" bestFit="1" customWidth="1"/>
    <col min="7" max="7" width="58.5546875" bestFit="1" customWidth="1"/>
    <col min="8" max="8" width="20.109375" bestFit="1" customWidth="1"/>
    <col min="9" max="9" width="14.109375" customWidth="1"/>
    <col min="10" max="10" width="25" bestFit="1" customWidth="1"/>
    <col min="11" max="11" width="4.88671875" bestFit="1" customWidth="1"/>
    <col min="12" max="12" width="50.5546875" bestFit="1" customWidth="1"/>
    <col min="13" max="13" width="19.44140625" bestFit="1" customWidth="1"/>
    <col min="14" max="14" width="10.88671875" bestFit="1" customWidth="1"/>
    <col min="15" max="15" width="22.33203125" bestFit="1" customWidth="1"/>
    <col min="16" max="16" width="9" bestFit="1" customWidth="1"/>
    <col min="17" max="17" width="11" bestFit="1" customWidth="1"/>
    <col min="18" max="18" width="9" bestFit="1" customWidth="1"/>
    <col min="19" max="19" width="32.33203125" bestFit="1" customWidth="1"/>
    <col min="20" max="20" width="33.88671875" bestFit="1" customWidth="1"/>
    <col min="21" max="21" width="22.109375" bestFit="1" customWidth="1"/>
  </cols>
  <sheetData>
    <row r="1" spans="2:21" x14ac:dyDescent="0.3">
      <c r="B1" s="68" t="s">
        <v>97</v>
      </c>
      <c r="C1" s="68"/>
      <c r="D1" s="68"/>
      <c r="E1" s="68"/>
      <c r="F1" s="68"/>
      <c r="G1" s="68"/>
      <c r="H1" s="68"/>
      <c r="I1" s="38"/>
    </row>
    <row r="2" spans="2:21" x14ac:dyDescent="0.3">
      <c r="B2" s="1" t="s">
        <v>98</v>
      </c>
      <c r="C2" s="33" t="s">
        <v>1</v>
      </c>
      <c r="D2" s="1" t="s">
        <v>99</v>
      </c>
      <c r="E2" s="1" t="s">
        <v>100</v>
      </c>
      <c r="F2" s="33" t="s">
        <v>101</v>
      </c>
      <c r="G2" s="1" t="s">
        <v>102</v>
      </c>
      <c r="H2" s="1" t="s">
        <v>103</v>
      </c>
      <c r="I2" s="1" t="s">
        <v>104</v>
      </c>
      <c r="J2" s="1" t="s">
        <v>20</v>
      </c>
    </row>
    <row r="3" spans="2:21" ht="16.8" x14ac:dyDescent="0.35">
      <c r="B3" s="1" t="s">
        <v>28</v>
      </c>
      <c r="C3" s="33" t="s">
        <v>2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34</v>
      </c>
      <c r="I3" s="1" t="s">
        <v>45</v>
      </c>
      <c r="J3" s="1" t="s">
        <v>106</v>
      </c>
      <c r="L3" s="3" t="s">
        <v>107</v>
      </c>
      <c r="M3" s="3" t="s">
        <v>108</v>
      </c>
      <c r="N3" s="3" t="s">
        <v>109</v>
      </c>
      <c r="O3" s="3" t="s">
        <v>110</v>
      </c>
      <c r="P3" s="3" t="s">
        <v>111</v>
      </c>
      <c r="Q3" s="3" t="s">
        <v>112</v>
      </c>
      <c r="R3" s="3" t="s">
        <v>113</v>
      </c>
      <c r="S3" s="3" t="s">
        <v>114</v>
      </c>
      <c r="T3" s="3" t="s">
        <v>115</v>
      </c>
      <c r="U3" s="3" t="s">
        <v>116</v>
      </c>
    </row>
    <row r="4" spans="2:21" ht="16.2" x14ac:dyDescent="0.3">
      <c r="B4" s="1" t="s">
        <v>31</v>
      </c>
      <c r="D4" s="1" t="s">
        <v>117</v>
      </c>
      <c r="E4" s="1" t="s">
        <v>117</v>
      </c>
      <c r="F4" s="1" t="s">
        <v>117</v>
      </c>
      <c r="G4" s="1" t="s">
        <v>117</v>
      </c>
      <c r="H4" s="1" t="s">
        <v>118</v>
      </c>
      <c r="I4" s="1" t="s">
        <v>119</v>
      </c>
      <c r="L4" s="3"/>
      <c r="M4" s="3"/>
      <c r="N4" s="3"/>
      <c r="O4" s="3"/>
      <c r="P4" s="3" t="s">
        <v>120</v>
      </c>
      <c r="Q4" s="3" t="s">
        <v>121</v>
      </c>
      <c r="R4" s="3" t="s">
        <v>34</v>
      </c>
      <c r="S4" s="3"/>
      <c r="T4" s="2"/>
      <c r="U4" s="2"/>
    </row>
    <row r="5" spans="2:21" ht="16.2" x14ac:dyDescent="0.3">
      <c r="B5" s="1" t="s">
        <v>33</v>
      </c>
      <c r="D5" s="44" t="s">
        <v>122</v>
      </c>
      <c r="E5" s="44" t="s">
        <v>122</v>
      </c>
      <c r="F5" s="44" t="s">
        <v>122</v>
      </c>
      <c r="G5" s="44" t="s">
        <v>122</v>
      </c>
      <c r="H5" s="1" t="s">
        <v>123</v>
      </c>
      <c r="I5" s="1" t="s">
        <v>124</v>
      </c>
      <c r="L5" s="3"/>
      <c r="M5" s="3"/>
      <c r="N5" s="3"/>
      <c r="O5" s="3"/>
      <c r="P5" s="3" t="s">
        <v>124</v>
      </c>
      <c r="Q5" s="3" t="s">
        <v>125</v>
      </c>
      <c r="R5" s="3" t="s">
        <v>45</v>
      </c>
      <c r="S5" s="3"/>
      <c r="T5" s="2"/>
      <c r="U5" s="2"/>
    </row>
    <row r="6" spans="2:21" x14ac:dyDescent="0.3">
      <c r="B6" s="1" t="s">
        <v>35</v>
      </c>
      <c r="D6" s="1" t="s">
        <v>126</v>
      </c>
      <c r="E6" s="1" t="s">
        <v>29</v>
      </c>
      <c r="F6" s="1" t="s">
        <v>126</v>
      </c>
      <c r="G6" s="1" t="s">
        <v>29</v>
      </c>
      <c r="L6" s="2" t="s">
        <v>105</v>
      </c>
      <c r="M6" s="2"/>
      <c r="N6" s="4">
        <v>48</v>
      </c>
      <c r="O6" s="5">
        <v>0.7</v>
      </c>
      <c r="P6" s="4">
        <v>13333.3</v>
      </c>
      <c r="Q6" s="4">
        <v>9.3332999999999995</v>
      </c>
      <c r="R6" s="6">
        <v>1</v>
      </c>
      <c r="S6" s="4">
        <v>11.11</v>
      </c>
      <c r="T6" s="4">
        <v>3.9995999999999997E-2</v>
      </c>
      <c r="U6" s="2">
        <v>0.122</v>
      </c>
    </row>
    <row r="7" spans="2:21" x14ac:dyDescent="0.3">
      <c r="D7" s="1" t="s">
        <v>29</v>
      </c>
      <c r="E7" s="1" t="s">
        <v>32</v>
      </c>
      <c r="F7" s="1" t="s">
        <v>29</v>
      </c>
      <c r="G7" s="1" t="s">
        <v>32</v>
      </c>
      <c r="L7" s="2" t="s">
        <v>117</v>
      </c>
      <c r="M7" s="2"/>
      <c r="N7" s="7">
        <v>120</v>
      </c>
      <c r="O7" s="8">
        <v>8.9899999999999994E-2</v>
      </c>
      <c r="P7" s="7">
        <v>33333.300000000003</v>
      </c>
      <c r="Q7" s="7">
        <v>2.9967000000000001</v>
      </c>
      <c r="R7" s="6">
        <v>1</v>
      </c>
      <c r="S7" s="7">
        <v>0</v>
      </c>
      <c r="T7" s="7">
        <v>0</v>
      </c>
      <c r="U7" s="2">
        <f>6.5/(N7/3.6)</f>
        <v>0.19499999999999998</v>
      </c>
    </row>
    <row r="8" spans="2:21" x14ac:dyDescent="0.3">
      <c r="D8" s="1" t="s">
        <v>32</v>
      </c>
      <c r="E8" s="1" t="s">
        <v>127</v>
      </c>
      <c r="F8" s="1" t="s">
        <v>32</v>
      </c>
      <c r="G8" s="1" t="s">
        <v>127</v>
      </c>
      <c r="L8" s="45" t="s">
        <v>122</v>
      </c>
      <c r="N8" s="4">
        <v>17.5</v>
      </c>
      <c r="O8" s="1" t="s">
        <v>94</v>
      </c>
      <c r="P8" s="46">
        <f>17.5/3.6*1000</f>
        <v>4861.1111111111104</v>
      </c>
      <c r="Q8" s="8" t="s">
        <v>94</v>
      </c>
      <c r="R8" s="6">
        <v>1</v>
      </c>
      <c r="S8" s="1">
        <v>0</v>
      </c>
      <c r="T8" s="1">
        <v>0</v>
      </c>
      <c r="U8" s="51">
        <v>1.0286E-2</v>
      </c>
    </row>
    <row r="9" spans="2:21" x14ac:dyDescent="0.3">
      <c r="D9" s="1" t="s">
        <v>127</v>
      </c>
      <c r="E9" s="1" t="s">
        <v>128</v>
      </c>
      <c r="F9" s="1" t="s">
        <v>127</v>
      </c>
      <c r="G9" s="1" t="s">
        <v>128</v>
      </c>
      <c r="L9" s="2" t="s">
        <v>129</v>
      </c>
      <c r="M9" s="2"/>
      <c r="N9" s="2">
        <v>46.5</v>
      </c>
      <c r="O9" s="2">
        <v>0.77</v>
      </c>
      <c r="P9" s="2">
        <v>12916.7</v>
      </c>
      <c r="Q9" s="2">
        <v>9.9458000000000002</v>
      </c>
      <c r="R9" s="2">
        <v>1</v>
      </c>
      <c r="S9" s="2">
        <v>30.48</v>
      </c>
      <c r="T9" s="64">
        <v>0.10972800000000001</v>
      </c>
      <c r="U9" s="52">
        <f>+U13*0.5+U6*0.5</f>
        <v>9.9750000000000005E-2</v>
      </c>
    </row>
    <row r="10" spans="2:21" x14ac:dyDescent="0.3">
      <c r="D10" s="1" t="s">
        <v>128</v>
      </c>
      <c r="E10" s="1" t="s">
        <v>130</v>
      </c>
      <c r="F10" s="1" t="s">
        <v>128</v>
      </c>
      <c r="G10" s="1" t="s">
        <v>130</v>
      </c>
      <c r="L10" s="2" t="s">
        <v>126</v>
      </c>
      <c r="M10" s="2"/>
      <c r="N10" s="2" t="s">
        <v>94</v>
      </c>
      <c r="O10" s="2" t="s">
        <v>94</v>
      </c>
      <c r="P10" s="2" t="s">
        <v>94</v>
      </c>
      <c r="Q10" s="2" t="s">
        <v>94</v>
      </c>
      <c r="R10" s="2">
        <v>1</v>
      </c>
      <c r="S10" s="2">
        <v>41.94</v>
      </c>
      <c r="T10" s="2">
        <v>0.151</v>
      </c>
      <c r="U10" s="52">
        <v>0.12556</v>
      </c>
    </row>
    <row r="11" spans="2:21" x14ac:dyDescent="0.3">
      <c r="D11" s="1" t="s">
        <v>130</v>
      </c>
      <c r="E11" s="1" t="s">
        <v>131</v>
      </c>
      <c r="F11" s="1" t="s">
        <v>130</v>
      </c>
      <c r="G11" s="1" t="s">
        <v>131</v>
      </c>
      <c r="L11" s="2" t="s">
        <v>132</v>
      </c>
      <c r="M11" s="2"/>
      <c r="N11" s="2">
        <v>66</v>
      </c>
      <c r="O11" s="2">
        <v>0.49299999999999999</v>
      </c>
      <c r="P11" s="2">
        <v>18333.3</v>
      </c>
      <c r="Q11" s="2">
        <v>9.0382999999999996</v>
      </c>
      <c r="R11" s="2">
        <v>1</v>
      </c>
      <c r="S11" s="2">
        <v>52.27</v>
      </c>
      <c r="T11" s="64">
        <v>0.18817200000000001</v>
      </c>
      <c r="U11" s="1">
        <f>+U13*0.8+U7*0.2</f>
        <v>0.10100000000000001</v>
      </c>
    </row>
    <row r="12" spans="2:21" x14ac:dyDescent="0.3">
      <c r="D12" s="1" t="s">
        <v>131</v>
      </c>
      <c r="E12" s="1" t="s">
        <v>133</v>
      </c>
      <c r="F12" s="1" t="s">
        <v>131</v>
      </c>
      <c r="G12" s="1" t="s">
        <v>133</v>
      </c>
      <c r="L12" s="2" t="s">
        <v>134</v>
      </c>
      <c r="M12" s="2"/>
      <c r="N12" s="2">
        <v>65</v>
      </c>
      <c r="O12" s="2">
        <v>0.54600000000000004</v>
      </c>
      <c r="P12" s="2">
        <v>18055.599999999999</v>
      </c>
      <c r="Q12" s="2">
        <v>9.8582999999999998</v>
      </c>
      <c r="R12" s="2">
        <v>1</v>
      </c>
      <c r="S12" s="2">
        <v>54.52</v>
      </c>
      <c r="T12" s="64">
        <v>0.1962612</v>
      </c>
      <c r="U12" s="52">
        <f>+U13*0.9+U7*0.1</f>
        <v>8.925000000000001E-2</v>
      </c>
    </row>
    <row r="13" spans="2:21" x14ac:dyDescent="0.3">
      <c r="D13" s="1" t="s">
        <v>133</v>
      </c>
      <c r="F13" s="1" t="s">
        <v>133</v>
      </c>
      <c r="L13" s="2" t="s">
        <v>29</v>
      </c>
      <c r="M13" s="2"/>
      <c r="N13" s="2">
        <v>45</v>
      </c>
      <c r="O13" s="2">
        <v>0.84</v>
      </c>
      <c r="P13" s="2">
        <v>12500</v>
      </c>
      <c r="Q13" s="2">
        <v>10.5</v>
      </c>
      <c r="R13" s="2">
        <v>1</v>
      </c>
      <c r="S13" s="2">
        <v>56.402000000000001</v>
      </c>
      <c r="T13" s="64">
        <f>+S13*0.0036</f>
        <v>0.20304720000000001</v>
      </c>
      <c r="U13" s="52">
        <v>7.7499999999999999E-2</v>
      </c>
    </row>
    <row r="14" spans="2:21" x14ac:dyDescent="0.3">
      <c r="L14" s="2" t="s">
        <v>32</v>
      </c>
      <c r="M14" s="2">
        <v>48.45</v>
      </c>
      <c r="N14" s="2">
        <v>46.4</v>
      </c>
      <c r="O14" s="2">
        <v>2.4300000000000002</v>
      </c>
      <c r="P14" s="2">
        <v>12888.9</v>
      </c>
      <c r="Q14" s="2">
        <v>31.32</v>
      </c>
      <c r="R14" s="2">
        <v>1</v>
      </c>
      <c r="S14" s="52">
        <v>63.104900000000001</v>
      </c>
      <c r="T14" s="64">
        <f>S14*0.0036</f>
        <v>0.22717763999999999</v>
      </c>
      <c r="U14" s="52">
        <f>1.408/(N14/3.6)</f>
        <v>0.10924137931034483</v>
      </c>
    </row>
    <row r="15" spans="2:21" x14ac:dyDescent="0.3">
      <c r="L15" s="2" t="s">
        <v>127</v>
      </c>
      <c r="M15" s="2"/>
      <c r="N15" s="2">
        <v>44.4</v>
      </c>
      <c r="O15" s="2">
        <v>680</v>
      </c>
      <c r="P15" s="2">
        <v>12333.3</v>
      </c>
      <c r="Q15" s="2">
        <v>8386.6666999999998</v>
      </c>
      <c r="R15" s="2">
        <v>1</v>
      </c>
      <c r="S15" s="2">
        <v>73.599999999999994</v>
      </c>
      <c r="T15" s="2">
        <v>0.26495999999999997</v>
      </c>
      <c r="U15" s="52">
        <v>5.595E-2</v>
      </c>
    </row>
    <row r="16" spans="2:21" x14ac:dyDescent="0.3">
      <c r="L16" s="2" t="s">
        <v>128</v>
      </c>
      <c r="M16" s="2"/>
      <c r="N16" s="7">
        <v>42.7</v>
      </c>
      <c r="O16" s="8">
        <v>837</v>
      </c>
      <c r="P16" s="7">
        <v>11861.1</v>
      </c>
      <c r="Q16" s="8">
        <v>9927.75</v>
      </c>
      <c r="R16" s="6">
        <v>1</v>
      </c>
      <c r="S16" s="7">
        <v>74.099999999999994</v>
      </c>
      <c r="T16" s="1">
        <f>+S16*0.0036</f>
        <v>0.26676</v>
      </c>
      <c r="U16" s="52">
        <v>0.16116</v>
      </c>
    </row>
    <row r="17" spans="12:21" x14ac:dyDescent="0.3">
      <c r="L17" s="2" t="s">
        <v>130</v>
      </c>
      <c r="M17" s="2">
        <v>40.28</v>
      </c>
      <c r="N17" s="7">
        <v>41.9</v>
      </c>
      <c r="O17" s="8">
        <v>944</v>
      </c>
      <c r="P17" s="7">
        <v>11638.9</v>
      </c>
      <c r="Q17" s="8">
        <v>10987.1111</v>
      </c>
      <c r="R17" s="6">
        <v>1</v>
      </c>
      <c r="S17" s="7">
        <v>78.599999999999994</v>
      </c>
      <c r="T17" s="7">
        <v>0.28295999999999999</v>
      </c>
      <c r="U17" s="52">
        <v>0.10323</v>
      </c>
    </row>
    <row r="18" spans="12:21" x14ac:dyDescent="0.3">
      <c r="L18" s="1" t="s">
        <v>131</v>
      </c>
      <c r="M18" s="1">
        <v>32.200000000000003</v>
      </c>
      <c r="N18" s="8">
        <v>32.5</v>
      </c>
      <c r="O18" s="8">
        <v>800</v>
      </c>
      <c r="P18" s="8">
        <v>9027.7999999999993</v>
      </c>
      <c r="Q18" s="8">
        <v>7222.2222000000002</v>
      </c>
      <c r="R18" s="62">
        <v>1</v>
      </c>
      <c r="S18" s="8">
        <v>93.6</v>
      </c>
      <c r="T18" s="8">
        <v>0.33695999999999998</v>
      </c>
      <c r="U18" s="26">
        <v>3.9877000000000003E-2</v>
      </c>
    </row>
    <row r="19" spans="12:21" x14ac:dyDescent="0.3">
      <c r="L19" s="2" t="s">
        <v>133</v>
      </c>
      <c r="M19" s="2"/>
      <c r="N19" s="7">
        <v>18.5</v>
      </c>
      <c r="O19" s="8">
        <v>200</v>
      </c>
      <c r="P19" s="7">
        <v>5138.8999999999996</v>
      </c>
      <c r="Q19" s="8">
        <v>1027.7778000000001</v>
      </c>
      <c r="R19" s="6">
        <v>1</v>
      </c>
      <c r="S19" s="7">
        <v>144.9</v>
      </c>
      <c r="T19" s="7">
        <v>0.52163999999999999</v>
      </c>
      <c r="U19" s="2"/>
    </row>
    <row r="21" spans="12:21" x14ac:dyDescent="0.3">
      <c r="L21" s="15" t="s">
        <v>5</v>
      </c>
      <c r="M21" s="16" t="s">
        <v>24</v>
      </c>
      <c r="N21" s="17" t="s">
        <v>135</v>
      </c>
      <c r="O21" s="31"/>
    </row>
    <row r="22" spans="12:21" x14ac:dyDescent="0.3">
      <c r="L22" s="53" t="s">
        <v>28</v>
      </c>
      <c r="M22" s="54" t="s">
        <v>105</v>
      </c>
      <c r="N22" s="55">
        <v>82.5</v>
      </c>
      <c r="O22" s="31"/>
    </row>
    <row r="23" spans="12:21" x14ac:dyDescent="0.3">
      <c r="L23" s="18" t="s">
        <v>28</v>
      </c>
      <c r="M23" s="19" t="s">
        <v>117</v>
      </c>
      <c r="N23" s="20">
        <v>82.5</v>
      </c>
      <c r="O23" s="31"/>
    </row>
    <row r="24" spans="12:21" x14ac:dyDescent="0.3">
      <c r="L24" s="18" t="s">
        <v>28</v>
      </c>
      <c r="M24" s="19" t="s">
        <v>122</v>
      </c>
      <c r="N24" s="56">
        <v>82.5</v>
      </c>
      <c r="O24" s="31"/>
    </row>
    <row r="25" spans="12:21" x14ac:dyDescent="0.3">
      <c r="L25" s="18" t="s">
        <v>28</v>
      </c>
      <c r="M25" s="19" t="s">
        <v>129</v>
      </c>
      <c r="N25" s="20">
        <v>82.5</v>
      </c>
      <c r="O25" s="31"/>
    </row>
    <row r="26" spans="12:21" x14ac:dyDescent="0.3">
      <c r="L26" s="18" t="s">
        <v>28</v>
      </c>
      <c r="M26" s="19" t="s">
        <v>126</v>
      </c>
      <c r="N26" s="20">
        <v>89.5</v>
      </c>
      <c r="O26" s="31"/>
    </row>
    <row r="27" spans="12:21" x14ac:dyDescent="0.3">
      <c r="L27" s="18" t="s">
        <v>28</v>
      </c>
      <c r="M27" s="19" t="s">
        <v>132</v>
      </c>
      <c r="N27" s="20">
        <v>82.5</v>
      </c>
      <c r="O27" s="31"/>
    </row>
    <row r="28" spans="12:21" x14ac:dyDescent="0.3">
      <c r="L28" s="18" t="s">
        <v>28</v>
      </c>
      <c r="M28" s="19" t="s">
        <v>134</v>
      </c>
      <c r="N28" s="20">
        <v>82.5</v>
      </c>
      <c r="O28" s="31"/>
    </row>
    <row r="29" spans="12:21" x14ac:dyDescent="0.3">
      <c r="L29" s="18" t="s">
        <v>28</v>
      </c>
      <c r="M29" s="19" t="s">
        <v>29</v>
      </c>
      <c r="N29" s="20">
        <v>82.5</v>
      </c>
      <c r="O29" s="31"/>
    </row>
    <row r="30" spans="12:21" x14ac:dyDescent="0.3">
      <c r="L30" s="18" t="s">
        <v>28</v>
      </c>
      <c r="M30" s="19" t="s">
        <v>32</v>
      </c>
      <c r="N30" s="20">
        <v>82.5</v>
      </c>
      <c r="O30" s="31"/>
    </row>
    <row r="31" spans="12:21" x14ac:dyDescent="0.3">
      <c r="L31" s="18" t="s">
        <v>28</v>
      </c>
      <c r="M31" s="19" t="s">
        <v>127</v>
      </c>
      <c r="N31" s="20">
        <v>72.5</v>
      </c>
      <c r="O31" s="31"/>
    </row>
    <row r="32" spans="12:21" x14ac:dyDescent="0.3">
      <c r="L32" s="18" t="s">
        <v>28</v>
      </c>
      <c r="M32" s="19" t="s">
        <v>128</v>
      </c>
      <c r="N32" s="20">
        <v>72.5</v>
      </c>
      <c r="O32" s="31"/>
    </row>
    <row r="33" spans="12:16" x14ac:dyDescent="0.3">
      <c r="L33" s="18" t="s">
        <v>28</v>
      </c>
      <c r="M33" s="19" t="s">
        <v>130</v>
      </c>
      <c r="N33" s="20">
        <v>72.5</v>
      </c>
      <c r="O33" s="31"/>
    </row>
    <row r="34" spans="12:16" x14ac:dyDescent="0.3">
      <c r="L34" s="18" t="s">
        <v>28</v>
      </c>
      <c r="M34" s="19" t="s">
        <v>131</v>
      </c>
      <c r="N34" s="20">
        <v>67.5</v>
      </c>
      <c r="O34" s="31"/>
    </row>
    <row r="35" spans="12:16" x14ac:dyDescent="0.3">
      <c r="L35" s="21" t="s">
        <v>28</v>
      </c>
      <c r="M35" s="22" t="s">
        <v>133</v>
      </c>
      <c r="N35" s="23">
        <v>67.5</v>
      </c>
      <c r="O35" s="31"/>
    </row>
    <row r="36" spans="12:16" x14ac:dyDescent="0.3">
      <c r="L36" s="19"/>
      <c r="M36" s="19"/>
      <c r="N36" s="19"/>
      <c r="O36" s="31"/>
    </row>
    <row r="37" spans="12:16" x14ac:dyDescent="0.3">
      <c r="L37" s="15" t="s">
        <v>5</v>
      </c>
      <c r="M37" s="16" t="s">
        <v>24</v>
      </c>
      <c r="N37" s="17" t="s">
        <v>135</v>
      </c>
      <c r="O37" s="31"/>
    </row>
    <row r="38" spans="12:16" x14ac:dyDescent="0.3">
      <c r="L38" s="18" t="s">
        <v>31</v>
      </c>
      <c r="M38" s="19" t="s">
        <v>105</v>
      </c>
      <c r="N38" s="20">
        <v>85</v>
      </c>
      <c r="O38" s="31"/>
    </row>
    <row r="39" spans="12:16" x14ac:dyDescent="0.3">
      <c r="L39" s="18" t="s">
        <v>31</v>
      </c>
      <c r="M39" s="19" t="s">
        <v>117</v>
      </c>
      <c r="N39" s="20">
        <v>85</v>
      </c>
      <c r="O39" s="31"/>
    </row>
    <row r="40" spans="12:16" x14ac:dyDescent="0.3">
      <c r="L40" s="18" t="s">
        <v>31</v>
      </c>
      <c r="M40" s="19" t="s">
        <v>122</v>
      </c>
      <c r="N40" s="20">
        <v>85</v>
      </c>
      <c r="O40" s="31"/>
    </row>
    <row r="41" spans="12:16" x14ac:dyDescent="0.3">
      <c r="L41" s="18" t="s">
        <v>31</v>
      </c>
      <c r="M41" s="19" t="s">
        <v>129</v>
      </c>
      <c r="N41" s="20">
        <v>85</v>
      </c>
      <c r="O41" s="31"/>
    </row>
    <row r="42" spans="12:16" x14ac:dyDescent="0.3">
      <c r="L42" s="18" t="s">
        <v>31</v>
      </c>
      <c r="M42" s="19" t="s">
        <v>126</v>
      </c>
      <c r="N42" s="20">
        <v>97</v>
      </c>
      <c r="O42" s="31"/>
    </row>
    <row r="43" spans="12:16" x14ac:dyDescent="0.3">
      <c r="L43" s="18" t="s">
        <v>31</v>
      </c>
      <c r="M43" s="19" t="s">
        <v>132</v>
      </c>
      <c r="N43" s="20">
        <v>85</v>
      </c>
      <c r="O43" s="31"/>
    </row>
    <row r="44" spans="12:16" x14ac:dyDescent="0.3">
      <c r="L44" s="18" t="s">
        <v>31</v>
      </c>
      <c r="M44" s="19" t="s">
        <v>134</v>
      </c>
      <c r="N44" s="20">
        <v>85</v>
      </c>
      <c r="O44" s="31"/>
    </row>
    <row r="45" spans="12:16" x14ac:dyDescent="0.3">
      <c r="L45" s="18" t="s">
        <v>31</v>
      </c>
      <c r="M45" s="19" t="s">
        <v>29</v>
      </c>
      <c r="N45" s="20">
        <v>85</v>
      </c>
      <c r="O45" s="31"/>
    </row>
    <row r="46" spans="12:16" x14ac:dyDescent="0.3">
      <c r="L46" s="18" t="s">
        <v>31</v>
      </c>
      <c r="M46" s="19" t="s">
        <v>32</v>
      </c>
      <c r="N46" s="20">
        <v>85</v>
      </c>
      <c r="O46" s="31"/>
      <c r="P46" s="31"/>
    </row>
    <row r="47" spans="12:16" x14ac:dyDescent="0.3">
      <c r="L47" s="18" t="s">
        <v>31</v>
      </c>
      <c r="M47" s="19" t="s">
        <v>127</v>
      </c>
      <c r="N47" s="20">
        <v>75</v>
      </c>
      <c r="O47" s="31"/>
      <c r="P47" s="31"/>
    </row>
    <row r="48" spans="12:16" x14ac:dyDescent="0.3">
      <c r="L48" s="18" t="s">
        <v>31</v>
      </c>
      <c r="M48" s="19" t="s">
        <v>128</v>
      </c>
      <c r="N48" s="20">
        <v>75</v>
      </c>
      <c r="O48" s="31"/>
      <c r="P48" s="31"/>
    </row>
    <row r="49" spans="12:16" x14ac:dyDescent="0.3">
      <c r="L49" s="18" t="s">
        <v>31</v>
      </c>
      <c r="M49" s="19" t="s">
        <v>130</v>
      </c>
      <c r="N49" s="20">
        <v>75</v>
      </c>
      <c r="O49" s="31"/>
      <c r="P49" s="31"/>
    </row>
    <row r="50" spans="12:16" x14ac:dyDescent="0.3">
      <c r="L50" s="18" t="s">
        <v>31</v>
      </c>
      <c r="M50" s="19" t="s">
        <v>131</v>
      </c>
      <c r="N50" s="20">
        <v>70</v>
      </c>
      <c r="O50" s="31"/>
      <c r="P50" s="31"/>
    </row>
    <row r="51" spans="12:16" x14ac:dyDescent="0.3">
      <c r="L51" s="21" t="s">
        <v>31</v>
      </c>
      <c r="M51" s="22" t="s">
        <v>133</v>
      </c>
      <c r="N51" s="23">
        <v>70</v>
      </c>
      <c r="O51" s="31"/>
      <c r="P51" s="31"/>
    </row>
    <row r="52" spans="12:16" x14ac:dyDescent="0.3">
      <c r="L52" s="19"/>
      <c r="M52" s="19"/>
      <c r="N52" s="19"/>
      <c r="O52" s="31"/>
      <c r="P52" s="31"/>
    </row>
    <row r="53" spans="12:16" x14ac:dyDescent="0.3">
      <c r="L53" s="15" t="s">
        <v>5</v>
      </c>
      <c r="M53" s="16" t="s">
        <v>24</v>
      </c>
      <c r="N53" s="17" t="s">
        <v>135</v>
      </c>
      <c r="O53" s="31"/>
      <c r="P53" s="31"/>
    </row>
    <row r="54" spans="12:16" x14ac:dyDescent="0.3">
      <c r="L54" s="18" t="s">
        <v>33</v>
      </c>
      <c r="M54" s="19" t="s">
        <v>105</v>
      </c>
      <c r="N54" s="20">
        <v>87.5</v>
      </c>
      <c r="O54" s="31"/>
      <c r="P54" s="31"/>
    </row>
    <row r="55" spans="12:16" x14ac:dyDescent="0.3">
      <c r="L55" s="18" t="s">
        <v>33</v>
      </c>
      <c r="M55" s="19" t="s">
        <v>117</v>
      </c>
      <c r="N55" s="20">
        <v>87.5</v>
      </c>
      <c r="O55" s="31"/>
      <c r="P55" s="31"/>
    </row>
    <row r="56" spans="12:16" x14ac:dyDescent="0.3">
      <c r="L56" s="18" t="s">
        <v>33</v>
      </c>
      <c r="M56" s="19" t="s">
        <v>122</v>
      </c>
      <c r="N56" s="20">
        <v>87.5</v>
      </c>
      <c r="O56" s="31"/>
      <c r="P56" s="31"/>
    </row>
    <row r="57" spans="12:16" x14ac:dyDescent="0.3">
      <c r="L57" s="18" t="s">
        <v>33</v>
      </c>
      <c r="M57" s="19" t="s">
        <v>129</v>
      </c>
      <c r="N57" s="20">
        <v>87.5</v>
      </c>
      <c r="O57" s="31"/>
      <c r="P57" s="31"/>
    </row>
    <row r="58" spans="12:16" x14ac:dyDescent="0.3">
      <c r="L58" s="18" t="s">
        <v>33</v>
      </c>
      <c r="M58" s="19" t="s">
        <v>132</v>
      </c>
      <c r="N58" s="20">
        <v>87.5</v>
      </c>
      <c r="O58" s="31"/>
    </row>
    <row r="59" spans="12:16" x14ac:dyDescent="0.3">
      <c r="L59" s="18" t="s">
        <v>33</v>
      </c>
      <c r="M59" s="19" t="s">
        <v>134</v>
      </c>
      <c r="N59" s="20">
        <v>87.5</v>
      </c>
      <c r="O59" s="31"/>
    </row>
    <row r="60" spans="12:16" x14ac:dyDescent="0.3">
      <c r="L60" s="18" t="s">
        <v>33</v>
      </c>
      <c r="M60" s="19" t="s">
        <v>29</v>
      </c>
      <c r="N60" s="20">
        <v>87.5</v>
      </c>
      <c r="O60" s="31"/>
    </row>
    <row r="61" spans="12:16" x14ac:dyDescent="0.3">
      <c r="L61" s="18" t="s">
        <v>33</v>
      </c>
      <c r="M61" s="19" t="s">
        <v>32</v>
      </c>
      <c r="N61" s="20">
        <v>87.5</v>
      </c>
      <c r="O61" s="31"/>
    </row>
    <row r="62" spans="12:16" x14ac:dyDescent="0.3">
      <c r="L62" s="18" t="s">
        <v>33</v>
      </c>
      <c r="M62" s="19" t="s">
        <v>127</v>
      </c>
      <c r="N62" s="20">
        <v>87.5</v>
      </c>
      <c r="O62" s="31"/>
    </row>
    <row r="63" spans="12:16" x14ac:dyDescent="0.3">
      <c r="L63" s="18" t="s">
        <v>33</v>
      </c>
      <c r="M63" s="19" t="s">
        <v>128</v>
      </c>
      <c r="N63" s="20">
        <v>87.5</v>
      </c>
      <c r="O63" s="31"/>
    </row>
    <row r="64" spans="12:16" x14ac:dyDescent="0.3">
      <c r="L64" s="18" t="s">
        <v>33</v>
      </c>
      <c r="M64" s="19" t="s">
        <v>130</v>
      </c>
      <c r="N64" s="20">
        <v>87.5</v>
      </c>
      <c r="O64" s="31"/>
    </row>
    <row r="65" spans="12:15" x14ac:dyDescent="0.3">
      <c r="L65" s="18" t="s">
        <v>33</v>
      </c>
      <c r="M65" s="19" t="s">
        <v>131</v>
      </c>
      <c r="N65" s="20">
        <v>87.5</v>
      </c>
      <c r="O65" s="31"/>
    </row>
    <row r="66" spans="12:15" x14ac:dyDescent="0.3">
      <c r="L66" s="21" t="s">
        <v>33</v>
      </c>
      <c r="M66" s="22" t="s">
        <v>133</v>
      </c>
      <c r="N66" s="23">
        <v>87.5</v>
      </c>
      <c r="O66" s="31"/>
    </row>
    <row r="67" spans="12:15" x14ac:dyDescent="0.3">
      <c r="O67" s="31"/>
    </row>
    <row r="68" spans="12:15" x14ac:dyDescent="0.3">
      <c r="L68" s="15" t="s">
        <v>5</v>
      </c>
      <c r="M68" s="16" t="s">
        <v>24</v>
      </c>
      <c r="N68" s="17" t="s">
        <v>135</v>
      </c>
      <c r="O68" s="31"/>
    </row>
    <row r="69" spans="12:15" x14ac:dyDescent="0.3">
      <c r="L69" s="18" t="s">
        <v>35</v>
      </c>
      <c r="M69" s="19" t="s">
        <v>105</v>
      </c>
      <c r="N69" s="20">
        <v>85</v>
      </c>
      <c r="O69" s="31"/>
    </row>
    <row r="70" spans="12:15" x14ac:dyDescent="0.3">
      <c r="L70" s="18" t="s">
        <v>35</v>
      </c>
      <c r="M70" s="19" t="s">
        <v>117</v>
      </c>
      <c r="N70" s="20">
        <v>85</v>
      </c>
    </row>
    <row r="71" spans="12:15" x14ac:dyDescent="0.3">
      <c r="L71" s="18" t="s">
        <v>35</v>
      </c>
      <c r="M71" s="19" t="s">
        <v>122</v>
      </c>
      <c r="N71" s="20">
        <v>85</v>
      </c>
    </row>
    <row r="72" spans="12:15" x14ac:dyDescent="0.3">
      <c r="L72" s="18" t="s">
        <v>35</v>
      </c>
      <c r="M72" s="19" t="s">
        <v>129</v>
      </c>
      <c r="N72" s="20">
        <v>85</v>
      </c>
    </row>
    <row r="73" spans="12:15" x14ac:dyDescent="0.3">
      <c r="L73" s="18" t="s">
        <v>35</v>
      </c>
      <c r="M73" s="19" t="s">
        <v>126</v>
      </c>
      <c r="N73" s="20">
        <v>85</v>
      </c>
    </row>
    <row r="74" spans="12:15" x14ac:dyDescent="0.3">
      <c r="L74" s="18" t="s">
        <v>35</v>
      </c>
      <c r="M74" s="19" t="s">
        <v>132</v>
      </c>
      <c r="N74" s="20">
        <v>85</v>
      </c>
    </row>
    <row r="75" spans="12:15" x14ac:dyDescent="0.3">
      <c r="L75" s="18" t="s">
        <v>35</v>
      </c>
      <c r="M75" s="19" t="s">
        <v>134</v>
      </c>
      <c r="N75" s="20">
        <v>85</v>
      </c>
    </row>
    <row r="76" spans="12:15" x14ac:dyDescent="0.3">
      <c r="L76" s="18" t="s">
        <v>35</v>
      </c>
      <c r="M76" s="19" t="s">
        <v>29</v>
      </c>
      <c r="N76" s="20">
        <v>85</v>
      </c>
    </row>
    <row r="77" spans="12:15" x14ac:dyDescent="0.3">
      <c r="L77" s="18" t="s">
        <v>35</v>
      </c>
      <c r="M77" s="19" t="s">
        <v>32</v>
      </c>
      <c r="N77" s="20">
        <v>85</v>
      </c>
    </row>
    <row r="78" spans="12:15" x14ac:dyDescent="0.3">
      <c r="L78" s="18" t="s">
        <v>35</v>
      </c>
      <c r="M78" s="19" t="s">
        <v>127</v>
      </c>
      <c r="N78" s="20">
        <v>85</v>
      </c>
    </row>
    <row r="79" spans="12:15" x14ac:dyDescent="0.3">
      <c r="L79" s="18" t="s">
        <v>35</v>
      </c>
      <c r="M79" s="19" t="s">
        <v>128</v>
      </c>
      <c r="N79" s="20">
        <v>85</v>
      </c>
    </row>
    <row r="80" spans="12:15" x14ac:dyDescent="0.3">
      <c r="L80" s="18" t="s">
        <v>35</v>
      </c>
      <c r="M80" s="19" t="s">
        <v>130</v>
      </c>
      <c r="N80" s="20">
        <v>85</v>
      </c>
    </row>
    <row r="81" spans="12:14" x14ac:dyDescent="0.3">
      <c r="L81" s="18" t="s">
        <v>35</v>
      </c>
      <c r="M81" s="19" t="s">
        <v>131</v>
      </c>
      <c r="N81" s="20">
        <v>85</v>
      </c>
    </row>
    <row r="82" spans="12:14" x14ac:dyDescent="0.3">
      <c r="L82" s="21" t="s">
        <v>35</v>
      </c>
      <c r="M82" s="22" t="s">
        <v>133</v>
      </c>
      <c r="N82" s="23">
        <v>85</v>
      </c>
    </row>
  </sheetData>
  <mergeCells count="1">
    <mergeCell ref="B1:H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0EF6-7B25-4E35-9076-D36277F17C3B}">
  <dimension ref="B3:I11"/>
  <sheetViews>
    <sheetView tabSelected="1" workbookViewId="0">
      <selection activeCell="D32" sqref="D32"/>
    </sheetView>
  </sheetViews>
  <sheetFormatPr defaultRowHeight="14.4" x14ac:dyDescent="0.3"/>
  <cols>
    <col min="4" max="4" width="10.21875" bestFit="1" customWidth="1"/>
    <col min="5" max="5" width="10.44140625" bestFit="1" customWidth="1"/>
    <col min="7" max="7" width="9.44140625" bestFit="1" customWidth="1"/>
    <col min="8" max="8" width="14.77734375" bestFit="1" customWidth="1"/>
    <col min="9" max="9" width="13.109375" customWidth="1"/>
  </cols>
  <sheetData>
    <row r="3" spans="2:9" ht="28.8" x14ac:dyDescent="0.3">
      <c r="E3" t="s">
        <v>138</v>
      </c>
      <c r="F3" s="63" t="s">
        <v>142</v>
      </c>
      <c r="G3" s="63" t="s">
        <v>139</v>
      </c>
      <c r="H3" s="63" t="s">
        <v>140</v>
      </c>
      <c r="I3" s="63" t="s">
        <v>141</v>
      </c>
    </row>
    <row r="4" spans="2:9" x14ac:dyDescent="0.3">
      <c r="D4" t="s">
        <v>136</v>
      </c>
      <c r="E4">
        <v>0.8</v>
      </c>
      <c r="F4">
        <f>45/3.6</f>
        <v>12.5</v>
      </c>
      <c r="G4">
        <v>0.84</v>
      </c>
      <c r="H4">
        <v>0.20305000000000001</v>
      </c>
      <c r="I4">
        <f>+H4*F4*G4</f>
        <v>2.1320250000000001</v>
      </c>
    </row>
    <row r="5" spans="2:9" x14ac:dyDescent="0.3">
      <c r="D5" t="s">
        <v>137</v>
      </c>
      <c r="E5">
        <v>0.2</v>
      </c>
      <c r="F5">
        <f>120/3.6</f>
        <v>33.333333333333336</v>
      </c>
      <c r="G5">
        <v>8.9899999999999994E-2</v>
      </c>
      <c r="H5">
        <v>0</v>
      </c>
      <c r="I5">
        <f>+H5*F5*G5</f>
        <v>0</v>
      </c>
    </row>
    <row r="6" spans="2:9" x14ac:dyDescent="0.3">
      <c r="D6" t="s">
        <v>143</v>
      </c>
      <c r="F6">
        <f>+((F4*G4)*E4+(F5*G5)*E5)/G6</f>
        <v>13.042890132081125</v>
      </c>
      <c r="G6">
        <f>+$E$4*G4+E$5*G5</f>
        <v>0.68998000000000004</v>
      </c>
      <c r="H6">
        <f>+I6/G6/F6</f>
        <v>0.18952737239795539</v>
      </c>
      <c r="I6">
        <f>+I4*E4+I5*E5</f>
        <v>1.7056200000000001</v>
      </c>
    </row>
    <row r="7" spans="2:9" x14ac:dyDescent="0.3">
      <c r="B7">
        <f>+E4*H4+E5*H5</f>
        <v>0.16244000000000003</v>
      </c>
    </row>
    <row r="10" spans="2:9" x14ac:dyDescent="0.3">
      <c r="G10" s="39">
        <f>+H6/H4</f>
        <v>0.93340247425735234</v>
      </c>
    </row>
    <row r="11" spans="2:9" x14ac:dyDescent="0.3">
      <c r="G11" s="8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B8BB05214FF242B512810EC1AE89A1" ma:contentTypeVersion="13" ma:contentTypeDescription="Criar um novo documento." ma:contentTypeScope="" ma:versionID="05b6b33b7da59df8755e6a97e9befc52">
  <xsd:schema xmlns:xsd="http://www.w3.org/2001/XMLSchema" xmlns:xs="http://www.w3.org/2001/XMLSchema" xmlns:p="http://schemas.microsoft.com/office/2006/metadata/properties" xmlns:ns2="d2323164-5c89-4a8b-ba67-939d784535b5" xmlns:ns3="cf80e9a0-c54e-4e9b-8831-ae04d071582b" targetNamespace="http://schemas.microsoft.com/office/2006/metadata/properties" ma:root="true" ma:fieldsID="0d3ad714e389a9c768c8f6fe5ce5cb79" ns2:_="" ns3:_="">
    <xsd:import namespace="d2323164-5c89-4a8b-ba67-939d784535b5"/>
    <xsd:import namespace="cf80e9a0-c54e-4e9b-8831-ae04d0715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23164-5c89-4a8b-ba67-939d784535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m" ma:readOnly="false" ma:fieldId="{5cf76f15-5ced-4ddc-b409-7134ff3c332f}" ma:taxonomyMulti="true" ma:sspId="46f478b6-41c8-4856-9c70-78e2b53a9c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0e9a0-c54e-4e9b-8831-ae04d071582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36811a-4abd-4c5a-8dd9-42e679a984d9}" ma:internalName="TaxCatchAll" ma:showField="CatchAllData" ma:web="cf80e9a0-c54e-4e9b-8831-ae04d0715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89EF30-AF93-44B7-B7EE-3EFB9E8970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698-7A21-4393-BEE3-3908FCB4C9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323164-5c89-4a8b-ba67-939d784535b5"/>
    <ds:schemaRef ds:uri="cf80e9a0-c54e-4e9b-8831-ae04d07158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Perguntas</vt:lpstr>
      <vt:lpstr>Inputs</vt:lpstr>
      <vt:lpstr>Processamento</vt:lpstr>
      <vt:lpstr>Outputs</vt:lpstr>
      <vt:lpstr>Apoio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Machado</dc:creator>
  <cp:keywords/>
  <dc:description/>
  <cp:lastModifiedBy>Francisco Machado</cp:lastModifiedBy>
  <cp:revision/>
  <dcterms:created xsi:type="dcterms:W3CDTF">2015-06-05T18:17:20Z</dcterms:created>
  <dcterms:modified xsi:type="dcterms:W3CDTF">2024-11-27T11:52:39Z</dcterms:modified>
  <cp:category/>
  <cp:contentStatus/>
</cp:coreProperties>
</file>